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hidePivotFieldList="1"/>
  <mc:AlternateContent xmlns:mc="http://schemas.openxmlformats.org/markup-compatibility/2006">
    <mc:Choice Requires="x15">
      <x15ac:absPath xmlns:x15ac="http://schemas.microsoft.com/office/spreadsheetml/2010/11/ac" url="/Users/hynio/Downloads/"/>
    </mc:Choice>
  </mc:AlternateContent>
  <xr:revisionPtr revIDLastSave="0" documentId="8_{DAB190E5-0518-FF48-A50F-CE423813822E}" xr6:coauthVersionLast="47" xr6:coauthVersionMax="47" xr10:uidLastSave="{00000000-0000-0000-0000-000000000000}"/>
  <bookViews>
    <workbookView xWindow="0" yWindow="0" windowWidth="28800" windowHeight="18000" xr2:uid="{3A8C623B-B399-4797-B7F3-4F15079145AC}"/>
  </bookViews>
  <sheets>
    <sheet name="01_Cost of Living" sheetId="1" r:id="rId1"/>
    <sheet name="Key Insight 1 and Key Insight 2" sheetId="9" r:id="rId2"/>
  </sheets>
  <calcPr calcId="191029"/>
  <pivotCaches>
    <pivotCache cacheId="41"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J36" i="1"/>
  <c r="J35" i="1"/>
  <c r="J34" i="1"/>
  <c r="J33" i="1"/>
  <c r="J32" i="1"/>
  <c r="J31" i="1"/>
</calcChain>
</file>

<file path=xl/sharedStrings.xml><?xml version="1.0" encoding="utf-8"?>
<sst xmlns="http://schemas.openxmlformats.org/spreadsheetml/2006/main" count="459" uniqueCount="36">
  <si>
    <t>Country</t>
  </si>
  <si>
    <t>Year</t>
  </si>
  <si>
    <t>Average_Monthly_Income</t>
  </si>
  <si>
    <t>Cost_of_Living</t>
  </si>
  <si>
    <t>Region</t>
  </si>
  <si>
    <t>Australia</t>
  </si>
  <si>
    <t>Oceania</t>
  </si>
  <si>
    <t>India</t>
  </si>
  <si>
    <t>Asia</t>
  </si>
  <si>
    <t>Russia</t>
  </si>
  <si>
    <t>Europe</t>
  </si>
  <si>
    <t>South Africa</t>
  </si>
  <si>
    <t>Africa</t>
  </si>
  <si>
    <t>Brazil</t>
  </si>
  <si>
    <t>South America</t>
  </si>
  <si>
    <t>China</t>
  </si>
  <si>
    <t>Japan</t>
  </si>
  <si>
    <t>Canada</t>
  </si>
  <si>
    <t>North America</t>
  </si>
  <si>
    <t>Germany</t>
  </si>
  <si>
    <t>Mexico</t>
  </si>
  <si>
    <t>United States</t>
  </si>
  <si>
    <t>France</t>
  </si>
  <si>
    <t>Row Labels</t>
  </si>
  <si>
    <t>Grand Total</t>
  </si>
  <si>
    <t>Average of Average_Monthly_Income</t>
  </si>
  <si>
    <t>Average of Cost_of_Living</t>
  </si>
  <si>
    <t>Times</t>
  </si>
  <si>
    <t>This chart compares Average Monthly Income to Average Cost of Living across six different geographical regions. It shows that while income in Europe is the highest, the "gap" (or margin) between income and cost is tightest in regions like Africa and South America. This implies that real "purchasing power" (the money left over after paying for necessities) is extremely low in these specific regions, regardless of their total income level.</t>
  </si>
  <si>
    <t>Analysis of the "Income-Cost Gap": Real Purchasing Power by Region:</t>
  </si>
  <si>
    <t>Key insight 1</t>
  </si>
  <si>
    <t>Key insight 2</t>
  </si>
  <si>
    <t>remaining money</t>
  </si>
  <si>
    <t>Average of remaining money</t>
  </si>
  <si>
    <t>Disposable Income, Not Total Income, Reveals True Purchasing Power</t>
  </si>
  <si>
    <t>This chart analyzes average disposable income (the "money left over") after subtracting living costs from earnings across various nations.
It reveals a hidden truth: Europe (~$940), not North America or other regions, boasts the highest average disposable income. This is driven by Germany and France, where strong earnings successfully outpace high living costs.
Implication: European nations in this dataset demonstrate the strongest real purchasing power. Conversely, North America is financially "squeezed," with Canada and the United States showing a net deficit. This suggests that even high-income nations can become extremely price-sensitive markets when living costs spiral out of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</si>
</sst>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1"/>
      <name val="Aptos Narrow"/>
      <scheme val="minor"/>
    </font>
    <font>
      <b/>
      <sz val="18"/>
      <color theme="1"/>
      <name val="Aptos Narrow"/>
      <scheme val="minor"/>
    </font>
    <font>
      <b/>
      <sz val="18"/>
      <color rgb="FFFF0000"/>
      <name val="Aptos Narrow"/>
      <scheme val="minor"/>
    </font>
    <font>
      <sz val="16"/>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1">
    <xf numFmtId="0" fontId="0" fillId="0" borderId="0" xfId="0"/>
    <xf numFmtId="0" fontId="0" fillId="0" borderId="0" xfId="0" applyNumberFormat="1"/>
    <xf numFmtId="0" fontId="0" fillId="0" borderId="0" xfId="0" applyAlignment="1"/>
    <xf numFmtId="0" fontId="18" fillId="0" borderId="0" xfId="0" applyFont="1" applyBorder="1" applyAlignment="1">
      <alignment horizontal="center" vertical="center"/>
    </xf>
    <xf numFmtId="0" fontId="0" fillId="0" borderId="0" xfId="0" applyBorder="1"/>
    <xf numFmtId="0" fontId="0" fillId="0" borderId="0" xfId="0" applyBorder="1" applyAlignment="1">
      <alignment horizontal="left"/>
    </xf>
    <xf numFmtId="0" fontId="0" fillId="0" borderId="10" xfId="0" applyBorder="1" applyAlignment="1">
      <alignment horizontal="left"/>
    </xf>
    <xf numFmtId="0" fontId="18" fillId="0" borderId="11" xfId="0" applyFont="1" applyBorder="1" applyAlignment="1">
      <alignment horizontal="center" vertical="center"/>
    </xf>
    <xf numFmtId="0" fontId="0" fillId="0" borderId="12" xfId="0" applyBorder="1" applyAlignment="1">
      <alignment horizontal="left"/>
    </xf>
    <xf numFmtId="0" fontId="0" fillId="0" borderId="14" xfId="0" applyBorder="1" applyAlignment="1">
      <alignment horizontal="left"/>
    </xf>
    <xf numFmtId="0" fontId="18" fillId="0" borderId="15" xfId="0" applyFont="1" applyBorder="1" applyAlignment="1">
      <alignment horizontal="center" vertical="center"/>
    </xf>
    <xf numFmtId="0" fontId="16" fillId="0" borderId="13" xfId="0" applyFont="1" applyBorder="1" applyAlignment="1">
      <alignment horizontal="center" vertical="center"/>
    </xf>
    <xf numFmtId="0" fontId="0" fillId="0" borderId="0" xfId="0" applyBorder="1" applyAlignment="1">
      <alignment horizontal="center" vertical="center" wrapText="1"/>
    </xf>
    <xf numFmtId="0" fontId="20" fillId="0" borderId="0" xfId="0" applyFont="1" applyBorder="1" applyAlignment="1">
      <alignment vertical="center" textRotation="90"/>
    </xf>
    <xf numFmtId="0" fontId="18" fillId="0" borderId="0" xfId="0" applyFont="1" applyBorder="1" applyAlignment="1"/>
    <xf numFmtId="0" fontId="0" fillId="0" borderId="0" xfId="0" applyBorder="1" applyAlignment="1">
      <alignment vertical="top" wrapText="1"/>
    </xf>
    <xf numFmtId="0" fontId="0" fillId="0" borderId="21" xfId="0" applyBorder="1"/>
    <xf numFmtId="0" fontId="0" fillId="0" borderId="19" xfId="0" applyNumberFormat="1" applyBorder="1"/>
    <xf numFmtId="0" fontId="0" fillId="0" borderId="21" xfId="0" applyNumberFormat="1" applyBorder="1"/>
    <xf numFmtId="0" fontId="0" fillId="0" borderId="24" xfId="0" applyNumberFormat="1" applyBorder="1"/>
    <xf numFmtId="0" fontId="0" fillId="0" borderId="26" xfId="0" applyBorder="1" applyAlignment="1">
      <alignment horizontal="center" vertical="center" wrapText="1"/>
    </xf>
    <xf numFmtId="0" fontId="20" fillId="33" borderId="27" xfId="0" applyFont="1" applyFill="1" applyBorder="1" applyAlignment="1">
      <alignment horizontal="center" vertical="center" textRotation="90" wrapText="1"/>
    </xf>
    <xf numFmtId="0" fontId="20" fillId="33" borderId="28" xfId="0" applyFont="1" applyFill="1" applyBorder="1" applyAlignment="1">
      <alignment horizontal="center" vertical="center" textRotation="90" wrapText="1"/>
    </xf>
    <xf numFmtId="0" fontId="20" fillId="33" borderId="29" xfId="0" applyFont="1" applyFill="1" applyBorder="1" applyAlignment="1">
      <alignment horizontal="center" vertical="center" textRotation="90" wrapText="1"/>
    </xf>
    <xf numFmtId="0" fontId="0" fillId="0" borderId="18" xfId="0" applyBorder="1"/>
    <xf numFmtId="0" fontId="0" fillId="0" borderId="16" xfId="0" pivotButton="1" applyBorder="1" applyAlignment="1">
      <alignment horizontal="center" vertical="center" wrapText="1"/>
    </xf>
    <xf numFmtId="0" fontId="0" fillId="0" borderId="16" xfId="0" applyBorder="1" applyAlignment="1">
      <alignment horizontal="left"/>
    </xf>
    <xf numFmtId="0" fontId="0" fillId="0" borderId="16" xfId="0" applyNumberFormat="1" applyBorder="1"/>
    <xf numFmtId="0" fontId="21" fillId="33" borderId="17" xfId="0" applyFont="1" applyFill="1" applyBorder="1" applyAlignment="1">
      <alignment horizontal="left" vertical="center" wrapText="1"/>
    </xf>
    <xf numFmtId="0" fontId="21" fillId="33" borderId="18" xfId="0" applyFont="1" applyFill="1" applyBorder="1" applyAlignment="1">
      <alignment horizontal="left" vertical="center" wrapText="1"/>
    </xf>
    <xf numFmtId="0" fontId="21" fillId="33" borderId="19" xfId="0" applyFont="1" applyFill="1" applyBorder="1" applyAlignment="1">
      <alignment horizontal="left" vertical="center" wrapText="1"/>
    </xf>
    <xf numFmtId="0" fontId="21" fillId="33" borderId="20" xfId="0" applyFont="1" applyFill="1" applyBorder="1" applyAlignment="1">
      <alignment horizontal="left" vertical="center" wrapText="1"/>
    </xf>
    <xf numFmtId="0" fontId="21" fillId="33" borderId="0" xfId="0" applyFont="1" applyFill="1" applyBorder="1" applyAlignment="1">
      <alignment horizontal="left" vertical="center" wrapText="1"/>
    </xf>
    <xf numFmtId="0" fontId="21" fillId="33" borderId="21" xfId="0" applyFont="1" applyFill="1" applyBorder="1" applyAlignment="1">
      <alignment horizontal="left" vertical="center" wrapText="1"/>
    </xf>
    <xf numFmtId="0" fontId="21" fillId="33" borderId="22" xfId="0" applyFont="1" applyFill="1" applyBorder="1" applyAlignment="1">
      <alignment horizontal="left" vertical="center" wrapText="1"/>
    </xf>
    <xf numFmtId="0" fontId="21" fillId="33" borderId="23" xfId="0" applyFont="1" applyFill="1" applyBorder="1" applyAlignment="1">
      <alignment horizontal="left" vertical="center" wrapText="1"/>
    </xf>
    <xf numFmtId="0" fontId="21" fillId="33" borderId="24" xfId="0" applyFont="1" applyFill="1" applyBorder="1" applyAlignment="1">
      <alignment horizontal="left" vertical="center" wrapText="1"/>
    </xf>
    <xf numFmtId="0" fontId="0" fillId="0" borderId="17" xfId="0" applyBorder="1"/>
    <xf numFmtId="0" fontId="0" fillId="0" borderId="19" xfId="0" applyBorder="1"/>
    <xf numFmtId="0" fontId="0" fillId="0" borderId="20" xfId="0" applyBorder="1"/>
    <xf numFmtId="0" fontId="0" fillId="0" borderId="22" xfId="0" applyBorder="1"/>
    <xf numFmtId="0" fontId="0" fillId="0" borderId="23" xfId="0" applyBorder="1"/>
    <xf numFmtId="0" fontId="0" fillId="0" borderId="24" xfId="0" applyBorder="1"/>
    <xf numFmtId="0" fontId="0" fillId="0" borderId="34" xfId="0" applyBorder="1" applyAlignment="1">
      <alignment horizontal="center" vertical="center" wrapText="1"/>
    </xf>
    <xf numFmtId="0" fontId="0" fillId="0" borderId="30" xfId="0" applyBorder="1" applyAlignment="1">
      <alignment horizontal="center" vertical="center" wrapText="1"/>
    </xf>
    <xf numFmtId="0" fontId="0" fillId="0" borderId="17" xfId="0" applyNumberFormat="1" applyBorder="1"/>
    <xf numFmtId="0" fontId="0" fillId="0" borderId="20" xfId="0" applyNumberFormat="1" applyBorder="1"/>
    <xf numFmtId="0" fontId="0" fillId="0" borderId="22" xfId="0" applyNumberFormat="1" applyBorder="1"/>
    <xf numFmtId="0" fontId="0" fillId="0" borderId="27" xfId="0" applyBorder="1" applyAlignment="1">
      <alignment horizontal="left"/>
    </xf>
    <xf numFmtId="0" fontId="0" fillId="0" borderId="28" xfId="0" applyBorder="1" applyAlignment="1">
      <alignment horizontal="left"/>
    </xf>
    <xf numFmtId="0" fontId="0" fillId="0" borderId="29" xfId="0" applyBorder="1" applyAlignment="1">
      <alignment horizontal="left"/>
    </xf>
    <xf numFmtId="0" fontId="0" fillId="0" borderId="25" xfId="0" applyBorder="1" applyAlignment="1">
      <alignment horizontal="center" vertical="center" wrapText="1"/>
    </xf>
    <xf numFmtId="0" fontId="0" fillId="0" borderId="30" xfId="0" pivotButton="1" applyBorder="1" applyAlignment="1">
      <alignment horizontal="center" vertical="center" wrapText="1"/>
    </xf>
    <xf numFmtId="0" fontId="0" fillId="0" borderId="16" xfId="0" pivotButton="1" applyBorder="1"/>
    <xf numFmtId="0" fontId="0" fillId="0" borderId="16" xfId="0" applyBorder="1"/>
    <xf numFmtId="0" fontId="0" fillId="0" borderId="16" xfId="0" applyBorder="1" applyAlignment="1">
      <alignment horizontal="left" indent="1"/>
    </xf>
    <xf numFmtId="0" fontId="19" fillId="33" borderId="31" xfId="0" applyFont="1" applyFill="1" applyBorder="1" applyAlignment="1">
      <alignment horizontal="center" vertical="center"/>
    </xf>
    <xf numFmtId="0" fontId="19" fillId="33" borderId="32" xfId="0" applyFont="1" applyFill="1" applyBorder="1" applyAlignment="1">
      <alignment horizontal="center" vertical="center"/>
    </xf>
    <xf numFmtId="0" fontId="19" fillId="33" borderId="33" xfId="0" applyFont="1" applyFill="1" applyBorder="1" applyAlignment="1">
      <alignment horizontal="center" vertical="center"/>
    </xf>
    <xf numFmtId="0" fontId="19" fillId="33" borderId="18" xfId="0" applyFont="1" applyFill="1" applyBorder="1" applyAlignment="1">
      <alignment horizontal="center" vertical="center"/>
    </xf>
    <xf numFmtId="0" fontId="19" fillId="33" borderId="19"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4">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horizontal style="medium">
          <color indexed="64"/>
        </horizontal>
      </border>
    </dxf>
    <dxf>
      <border>
        <horizontal style="medium">
          <color indexed="64"/>
        </horizontal>
      </border>
    </dxf>
    <dxf>
      <border>
        <horizontal style="medium">
          <color indexed="64"/>
        </horizontal>
      </border>
    </dxf>
    <dxf>
      <numFmt numFmtId="0" formatCode="General"/>
      <border diagonalUp="0" diagonalDown="0">
        <left/>
        <right style="medium">
          <color indexed="64"/>
        </right>
        <top/>
        <bottom/>
        <vertical/>
        <horizontal/>
      </border>
    </dxf>
    <dxf>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1"/>
        <color theme="1"/>
        <name val="Aptos Narrow"/>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diagonalUp="0" diagonalDown="0">
        <left/>
        <right style="medium">
          <color indexed="64"/>
        </right>
        <top/>
        <bottom/>
        <vertical/>
        <horizontal/>
      </border>
    </dxf>
    <dxf>
      <border diagonalUp="0" diagonalDown="0">
        <left style="medium">
          <color indexed="64"/>
        </left>
        <right/>
        <top/>
        <bottom/>
        <vertical/>
        <horizontal/>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1"/>
    </dxf>
    <dxf>
      <alignment wrapText="1"/>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wrapText="1"/>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[MISS_311_DangHoTrungHieu_2232300128.xlsx]01_Cost of Living!PivotTable7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92705575502888"/>
          <c:y val="0.13885925301529903"/>
          <c:w val="0.81099019015348117"/>
          <c:h val="0.60561170842228285"/>
        </c:manualLayout>
      </c:layout>
      <c:barChart>
        <c:barDir val="col"/>
        <c:grouping val="clustered"/>
        <c:varyColors val="0"/>
        <c:ser>
          <c:idx val="0"/>
          <c:order val="0"/>
          <c:tx>
            <c:strRef>
              <c:f>'01_Cost of Living'!$J$4</c:f>
              <c:strCache>
                <c:ptCount val="1"/>
                <c:pt idx="0">
                  <c:v>Average of Cost_of_Living</c:v>
                </c:pt>
              </c:strCache>
            </c:strRef>
          </c:tx>
          <c:spPr>
            <a:solidFill>
              <a:schemeClr val="accent1"/>
            </a:solidFill>
            <a:ln>
              <a:noFill/>
            </a:ln>
            <a:effectLst/>
          </c:spPr>
          <c:invertIfNegative val="0"/>
          <c:cat>
            <c:strRef>
              <c:f>'01_Cost of Living'!$I$5:$I$11</c:f>
              <c:strCache>
                <c:ptCount val="6"/>
                <c:pt idx="0">
                  <c:v>Africa</c:v>
                </c:pt>
                <c:pt idx="1">
                  <c:v>Asia</c:v>
                </c:pt>
                <c:pt idx="2">
                  <c:v>Europe</c:v>
                </c:pt>
                <c:pt idx="3">
                  <c:v>North America</c:v>
                </c:pt>
                <c:pt idx="4">
                  <c:v>Oceania</c:v>
                </c:pt>
                <c:pt idx="5">
                  <c:v>South America</c:v>
                </c:pt>
              </c:strCache>
            </c:strRef>
          </c:cat>
          <c:val>
            <c:numRef>
              <c:f>'01_Cost of Living'!$J$5:$J$11</c:f>
              <c:numCache>
                <c:formatCode>General</c:formatCode>
                <c:ptCount val="6"/>
                <c:pt idx="0">
                  <c:v>3963.1738888888885</c:v>
                </c:pt>
                <c:pt idx="1">
                  <c:v>3645.2931914893629</c:v>
                </c:pt>
                <c:pt idx="2">
                  <c:v>3554.35</c:v>
                </c:pt>
                <c:pt idx="3">
                  <c:v>3750.0729411764701</c:v>
                </c:pt>
                <c:pt idx="4">
                  <c:v>3913.3959090909102</c:v>
                </c:pt>
                <c:pt idx="5">
                  <c:v>3585.0149999999994</c:v>
                </c:pt>
              </c:numCache>
            </c:numRef>
          </c:val>
          <c:extLst>
            <c:ext xmlns:c16="http://schemas.microsoft.com/office/drawing/2014/chart" uri="{C3380CC4-5D6E-409C-BE32-E72D297353CC}">
              <c16:uniqueId val="{00000000-1149-AC4A-BA98-DDCC569AF7F5}"/>
            </c:ext>
          </c:extLst>
        </c:ser>
        <c:ser>
          <c:idx val="1"/>
          <c:order val="1"/>
          <c:tx>
            <c:strRef>
              <c:f>'01_Cost of Living'!$K$4</c:f>
              <c:strCache>
                <c:ptCount val="1"/>
                <c:pt idx="0">
                  <c:v>Average of Average_Monthly_Income</c:v>
                </c:pt>
              </c:strCache>
            </c:strRef>
          </c:tx>
          <c:spPr>
            <a:solidFill>
              <a:schemeClr val="accent2"/>
            </a:solidFill>
            <a:ln>
              <a:noFill/>
            </a:ln>
            <a:effectLst/>
          </c:spPr>
          <c:invertIfNegative val="0"/>
          <c:cat>
            <c:strRef>
              <c:f>'01_Cost of Living'!$I$5:$I$11</c:f>
              <c:strCache>
                <c:ptCount val="6"/>
                <c:pt idx="0">
                  <c:v>Africa</c:v>
                </c:pt>
                <c:pt idx="1">
                  <c:v>Asia</c:v>
                </c:pt>
                <c:pt idx="2">
                  <c:v>Europe</c:v>
                </c:pt>
                <c:pt idx="3">
                  <c:v>North America</c:v>
                </c:pt>
                <c:pt idx="4">
                  <c:v>Oceania</c:v>
                </c:pt>
                <c:pt idx="5">
                  <c:v>South America</c:v>
                </c:pt>
              </c:strCache>
            </c:strRef>
          </c:cat>
          <c:val>
            <c:numRef>
              <c:f>'01_Cost of Living'!$K$5:$K$11</c:f>
              <c:numCache>
                <c:formatCode>General</c:formatCode>
                <c:ptCount val="6"/>
                <c:pt idx="0">
                  <c:v>4695.1850000000013</c:v>
                </c:pt>
                <c:pt idx="1">
                  <c:v>4172.5140425531918</c:v>
                </c:pt>
                <c:pt idx="2">
                  <c:v>4477.2575555555559</c:v>
                </c:pt>
                <c:pt idx="3">
                  <c:v>3774.2074509803924</c:v>
                </c:pt>
                <c:pt idx="4">
                  <c:v>4541.9690909090914</c:v>
                </c:pt>
                <c:pt idx="5">
                  <c:v>4389.5681250000007</c:v>
                </c:pt>
              </c:numCache>
            </c:numRef>
          </c:val>
          <c:extLst>
            <c:ext xmlns:c16="http://schemas.microsoft.com/office/drawing/2014/chart" uri="{C3380CC4-5D6E-409C-BE32-E72D297353CC}">
              <c16:uniqueId val="{0000008F-1149-AC4A-BA98-DDCC569AF7F5}"/>
            </c:ext>
          </c:extLst>
        </c:ser>
        <c:dLbls>
          <c:showLegendKey val="0"/>
          <c:showVal val="0"/>
          <c:showCatName val="0"/>
          <c:showSerName val="0"/>
          <c:showPercent val="0"/>
          <c:showBubbleSize val="0"/>
        </c:dLbls>
        <c:gapWidth val="219"/>
        <c:axId val="1155412223"/>
        <c:axId val="1155401471"/>
      </c:barChart>
      <c:catAx>
        <c:axId val="115541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155401471"/>
        <c:crosses val="autoZero"/>
        <c:auto val="1"/>
        <c:lblAlgn val="ctr"/>
        <c:lblOffset val="100"/>
        <c:noMultiLvlLbl val="0"/>
      </c:catAx>
      <c:valAx>
        <c:axId val="115540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155412223"/>
        <c:crosses val="autoZero"/>
        <c:crossBetween val="between"/>
      </c:valAx>
      <c:spPr>
        <a:noFill/>
        <a:ln>
          <a:noFill/>
        </a:ln>
        <a:effectLst/>
      </c:spPr>
    </c:plotArea>
    <c:legend>
      <c:legendPos val="r"/>
      <c:layout>
        <c:manualLayout>
          <c:xMode val="edge"/>
          <c:yMode val="edge"/>
          <c:x val="0.12633359743565348"/>
          <c:y val="0.87305106971920077"/>
          <c:w val="0.78165965153649464"/>
          <c:h val="0.11179361960750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[MISS_311_DangHoTrungHieu_2232300128.xlsx]01_Cost of Living!PivotTable16</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2000" b="0" i="0" u="none" strike="noStrike" cap="none" normalizeH="0" baseline="0"/>
              <a:t>Average Disposable Income (Income - Cost) </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VN"/>
        </a:p>
      </c:txPr>
    </c:title>
    <c:autoTitleDeleted val="0"/>
    <c:pivotFmts>
      <c:pivotFmt>
        <c:idx val="0"/>
        <c:spPr>
          <a:solidFill>
            <a:schemeClr val="accent2"/>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'01_Cost of Living'!$J$39</c:f>
              <c:strCache>
                <c:ptCount val="1"/>
                <c:pt idx="0">
                  <c:v>Total</c:v>
                </c:pt>
              </c:strCache>
            </c:strRef>
          </c:tx>
          <c:spPr>
            <a:solidFill>
              <a:schemeClr val="accent2"/>
            </a:solidFill>
            <a:ln>
              <a:noFill/>
            </a:ln>
            <a:effectLst/>
          </c:spPr>
          <c:invertIfNegative val="0"/>
          <c:cat>
            <c:multiLvlStrRef>
              <c:f>'01_Cost of Living'!$I$40:$I$58</c:f>
              <c:multiLvlStrCache>
                <c:ptCount val="12"/>
                <c:lvl>
                  <c:pt idx="0">
                    <c:v>South Africa</c:v>
                  </c:pt>
                  <c:pt idx="1">
                    <c:v>China</c:v>
                  </c:pt>
                  <c:pt idx="2">
                    <c:v>India</c:v>
                  </c:pt>
                  <c:pt idx="3">
                    <c:v>Japan</c:v>
                  </c:pt>
                  <c:pt idx="4">
                    <c:v>France</c:v>
                  </c:pt>
                  <c:pt idx="5">
                    <c:v>Germany</c:v>
                  </c:pt>
                  <c:pt idx="6">
                    <c:v>Russia</c:v>
                  </c:pt>
                  <c:pt idx="7">
                    <c:v>Canada</c:v>
                  </c:pt>
                  <c:pt idx="8">
                    <c:v>Mexico</c:v>
                  </c:pt>
                  <c:pt idx="9">
                    <c:v>United States</c:v>
                  </c:pt>
                  <c:pt idx="10">
                    <c:v>Australia</c:v>
                  </c:pt>
                  <c:pt idx="11">
                    <c:v>Brazil</c:v>
                  </c:pt>
                </c:lvl>
                <c:lvl>
                  <c:pt idx="0">
                    <c:v>Africa</c:v>
                  </c:pt>
                  <c:pt idx="1">
                    <c:v>Asia</c:v>
                  </c:pt>
                  <c:pt idx="4">
                    <c:v>Europe</c:v>
                  </c:pt>
                  <c:pt idx="7">
                    <c:v>North America</c:v>
                  </c:pt>
                  <c:pt idx="10">
                    <c:v>Oceania</c:v>
                  </c:pt>
                  <c:pt idx="11">
                    <c:v>South America</c:v>
                  </c:pt>
                </c:lvl>
              </c:multiLvlStrCache>
            </c:multiLvlStrRef>
          </c:cat>
          <c:val>
            <c:numRef>
              <c:f>'01_Cost of Living'!$J$40:$J$58</c:f>
              <c:numCache>
                <c:formatCode>General</c:formatCode>
                <c:ptCount val="12"/>
                <c:pt idx="0">
                  <c:v>732.01111111111106</c:v>
                </c:pt>
                <c:pt idx="1">
                  <c:v>455.12562499999984</c:v>
                </c:pt>
                <c:pt idx="2">
                  <c:v>578.34285714285704</c:v>
                </c:pt>
                <c:pt idx="3">
                  <c:v>552.97470588235296</c:v>
                </c:pt>
                <c:pt idx="4">
                  <c:v>1022.5757894736842</c:v>
                </c:pt>
                <c:pt idx="5">
                  <c:v>1211.1608333333334</c:v>
                </c:pt>
                <c:pt idx="6">
                  <c:v>540.56928571428568</c:v>
                </c:pt>
                <c:pt idx="7">
                  <c:v>-607.10699999999986</c:v>
                </c:pt>
                <c:pt idx="8">
                  <c:v>323.7607407407408</c:v>
                </c:pt>
                <c:pt idx="9">
                  <c:v>-102.8292857142857</c:v>
                </c:pt>
                <c:pt idx="10">
                  <c:v>628.57318181818198</c:v>
                </c:pt>
                <c:pt idx="11">
                  <c:v>804.55312500000002</c:v>
                </c:pt>
              </c:numCache>
            </c:numRef>
          </c:val>
          <c:extLst>
            <c:ext xmlns:c16="http://schemas.microsoft.com/office/drawing/2014/chart" uri="{C3380CC4-5D6E-409C-BE32-E72D297353CC}">
              <c16:uniqueId val="{00000000-E97F-2545-8997-6BDB8EEC516D}"/>
            </c:ext>
          </c:extLst>
        </c:ser>
        <c:dLbls>
          <c:showLegendKey val="0"/>
          <c:showVal val="0"/>
          <c:showCatName val="0"/>
          <c:showSerName val="0"/>
          <c:showPercent val="0"/>
          <c:showBubbleSize val="0"/>
        </c:dLbls>
        <c:gapWidth val="199"/>
        <c:axId val="1156080383"/>
        <c:axId val="1156074559"/>
      </c:barChart>
      <c:catAx>
        <c:axId val="115608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VN"/>
          </a:p>
        </c:txPr>
        <c:crossAx val="1156074559"/>
        <c:crosses val="autoZero"/>
        <c:auto val="1"/>
        <c:lblAlgn val="ctr"/>
        <c:lblOffset val="100"/>
        <c:noMultiLvlLbl val="0"/>
      </c:catAx>
      <c:valAx>
        <c:axId val="115607455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VN"/>
          </a:p>
        </c:txPr>
        <c:crossAx val="115608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[MISS_311_DangHoTrungHieu_2232300128.xlsx]01_Cost of Living!PivotTable7</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2">
              <a:lumMod val="50000"/>
              <a:lumOff val="50000"/>
            </a:schemeClr>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92705575502888"/>
          <c:y val="0.16111700656308392"/>
          <c:w val="0.81099019015348117"/>
          <c:h val="0.64641746868667926"/>
        </c:manualLayout>
      </c:layout>
      <c:barChart>
        <c:barDir val="col"/>
        <c:grouping val="clustered"/>
        <c:varyColors val="0"/>
        <c:ser>
          <c:idx val="0"/>
          <c:order val="0"/>
          <c:tx>
            <c:strRef>
              <c:f>'01_Cost of Living'!$J$4</c:f>
              <c:strCache>
                <c:ptCount val="1"/>
                <c:pt idx="0">
                  <c:v>Average of Cost_of_Living</c:v>
                </c:pt>
              </c:strCache>
            </c:strRef>
          </c:tx>
          <c:spPr>
            <a:solidFill>
              <a:schemeClr val="tx2">
                <a:lumMod val="50000"/>
                <a:lumOff val="50000"/>
              </a:schemeClr>
            </a:solidFill>
            <a:ln>
              <a:noFill/>
            </a:ln>
            <a:effectLst/>
          </c:spPr>
          <c:invertIfNegative val="0"/>
          <c:cat>
            <c:strRef>
              <c:f>'01_Cost of Living'!$I$5:$I$11</c:f>
              <c:strCache>
                <c:ptCount val="6"/>
                <c:pt idx="0">
                  <c:v>Africa</c:v>
                </c:pt>
                <c:pt idx="1">
                  <c:v>Asia</c:v>
                </c:pt>
                <c:pt idx="2">
                  <c:v>Europe</c:v>
                </c:pt>
                <c:pt idx="3">
                  <c:v>North America</c:v>
                </c:pt>
                <c:pt idx="4">
                  <c:v>Oceania</c:v>
                </c:pt>
                <c:pt idx="5">
                  <c:v>South America</c:v>
                </c:pt>
              </c:strCache>
            </c:strRef>
          </c:cat>
          <c:val>
            <c:numRef>
              <c:f>'01_Cost of Living'!$J$5:$J$11</c:f>
              <c:numCache>
                <c:formatCode>General</c:formatCode>
                <c:ptCount val="6"/>
                <c:pt idx="0">
                  <c:v>3963.1738888888885</c:v>
                </c:pt>
                <c:pt idx="1">
                  <c:v>3645.2931914893629</c:v>
                </c:pt>
                <c:pt idx="2">
                  <c:v>3554.35</c:v>
                </c:pt>
                <c:pt idx="3">
                  <c:v>3750.0729411764701</c:v>
                </c:pt>
                <c:pt idx="4">
                  <c:v>3913.3959090909102</c:v>
                </c:pt>
                <c:pt idx="5">
                  <c:v>3585.0149999999994</c:v>
                </c:pt>
              </c:numCache>
            </c:numRef>
          </c:val>
          <c:extLst>
            <c:ext xmlns:c16="http://schemas.microsoft.com/office/drawing/2014/chart" uri="{C3380CC4-5D6E-409C-BE32-E72D297353CC}">
              <c16:uniqueId val="{00000000-F40C-DB4E-B501-5B71D0E86234}"/>
            </c:ext>
          </c:extLst>
        </c:ser>
        <c:ser>
          <c:idx val="1"/>
          <c:order val="1"/>
          <c:tx>
            <c:strRef>
              <c:f>'01_Cost of Living'!$K$4</c:f>
              <c:strCache>
                <c:ptCount val="1"/>
                <c:pt idx="0">
                  <c:v>Average of Average_Monthly_Income</c:v>
                </c:pt>
              </c:strCache>
            </c:strRef>
          </c:tx>
          <c:spPr>
            <a:solidFill>
              <a:schemeClr val="accent2"/>
            </a:solidFill>
            <a:ln>
              <a:noFill/>
            </a:ln>
            <a:effectLst/>
          </c:spPr>
          <c:invertIfNegative val="0"/>
          <c:cat>
            <c:strRef>
              <c:f>'01_Cost of Living'!$I$5:$I$11</c:f>
              <c:strCache>
                <c:ptCount val="6"/>
                <c:pt idx="0">
                  <c:v>Africa</c:v>
                </c:pt>
                <c:pt idx="1">
                  <c:v>Asia</c:v>
                </c:pt>
                <c:pt idx="2">
                  <c:v>Europe</c:v>
                </c:pt>
                <c:pt idx="3">
                  <c:v>North America</c:v>
                </c:pt>
                <c:pt idx="4">
                  <c:v>Oceania</c:v>
                </c:pt>
                <c:pt idx="5">
                  <c:v>South America</c:v>
                </c:pt>
              </c:strCache>
            </c:strRef>
          </c:cat>
          <c:val>
            <c:numRef>
              <c:f>'01_Cost of Living'!$K$5:$K$11</c:f>
              <c:numCache>
                <c:formatCode>General</c:formatCode>
                <c:ptCount val="6"/>
                <c:pt idx="0">
                  <c:v>4695.1850000000013</c:v>
                </c:pt>
                <c:pt idx="1">
                  <c:v>4172.5140425531918</c:v>
                </c:pt>
                <c:pt idx="2">
                  <c:v>4477.2575555555559</c:v>
                </c:pt>
                <c:pt idx="3">
                  <c:v>3774.2074509803924</c:v>
                </c:pt>
                <c:pt idx="4">
                  <c:v>4541.9690909090914</c:v>
                </c:pt>
                <c:pt idx="5">
                  <c:v>4389.5681250000007</c:v>
                </c:pt>
              </c:numCache>
            </c:numRef>
          </c:val>
          <c:extLst>
            <c:ext xmlns:c16="http://schemas.microsoft.com/office/drawing/2014/chart" uri="{C3380CC4-5D6E-409C-BE32-E72D297353CC}">
              <c16:uniqueId val="{00000001-F40C-DB4E-B501-5B71D0E86234}"/>
            </c:ext>
          </c:extLst>
        </c:ser>
        <c:dLbls>
          <c:showLegendKey val="0"/>
          <c:showVal val="0"/>
          <c:showCatName val="0"/>
          <c:showSerName val="0"/>
          <c:showPercent val="0"/>
          <c:showBubbleSize val="0"/>
        </c:dLbls>
        <c:gapWidth val="199"/>
        <c:axId val="1155412223"/>
        <c:axId val="1155401471"/>
      </c:barChart>
      <c:catAx>
        <c:axId val="115541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VN"/>
          </a:p>
        </c:txPr>
        <c:crossAx val="1155401471"/>
        <c:crosses val="autoZero"/>
        <c:auto val="1"/>
        <c:lblAlgn val="ctr"/>
        <c:lblOffset val="100"/>
        <c:noMultiLvlLbl val="0"/>
      </c:catAx>
      <c:valAx>
        <c:axId val="115540147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155412223"/>
        <c:crosses val="autoZero"/>
        <c:crossBetween val="between"/>
      </c:valAx>
      <c:spPr>
        <a:noFill/>
        <a:ln>
          <a:noFill/>
        </a:ln>
        <a:effectLst/>
      </c:spPr>
    </c:plotArea>
    <c:legend>
      <c:legendPos val="r"/>
      <c:layout>
        <c:manualLayout>
          <c:xMode val="edge"/>
          <c:yMode val="edge"/>
          <c:x val="0.12176289841031164"/>
          <c:y val="0.88788953432160778"/>
          <c:w val="0.78165965153649464"/>
          <c:h val="7.8407077112803897E-2"/>
        </c:manualLayout>
      </c:layout>
      <c:overlay val="0"/>
      <c:spPr>
        <a:noFill/>
        <a:ln>
          <a:solidFill>
            <a:schemeClr val="dk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alpha val="60000"/>
        </a:schemeClr>
      </a:solidFill>
      <a:round/>
    </a:ln>
    <a:effectLst/>
  </c:spPr>
  <c:txPr>
    <a:bodyPr/>
    <a:lstStyle/>
    <a:p>
      <a:pPr>
        <a:defRPr/>
      </a:pPr>
      <a:endParaRPr lang="en-VN"/>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[MISS_311_DangHoTrungHieu_2232300128.xlsx]01_Cost of Living!PivotTable16</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sz="2000" b="0" i="0" u="none" strike="noStrike" cap="none" normalizeH="0" baseline="0"/>
              <a:t>Average Disposable Income (Income - Cost) </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2"/>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V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'01_Cost of Living'!$J$39</c:f>
              <c:strCache>
                <c:ptCount val="1"/>
                <c:pt idx="0">
                  <c:v>Total</c:v>
                </c:pt>
              </c:strCache>
            </c:strRef>
          </c:tx>
          <c:spPr>
            <a:solidFill>
              <a:schemeClr val="accent2"/>
            </a:solidFill>
            <a:ln>
              <a:noFill/>
            </a:ln>
            <a:effectLst/>
          </c:spPr>
          <c:invertIfNegative val="0"/>
          <c:cat>
            <c:multiLvlStrRef>
              <c:f>'01_Cost of Living'!$I$40:$I$58</c:f>
              <c:multiLvlStrCache>
                <c:ptCount val="12"/>
                <c:lvl>
                  <c:pt idx="0">
                    <c:v>South Africa</c:v>
                  </c:pt>
                  <c:pt idx="1">
                    <c:v>China</c:v>
                  </c:pt>
                  <c:pt idx="2">
                    <c:v>India</c:v>
                  </c:pt>
                  <c:pt idx="3">
                    <c:v>Japan</c:v>
                  </c:pt>
                  <c:pt idx="4">
                    <c:v>France</c:v>
                  </c:pt>
                  <c:pt idx="5">
                    <c:v>Germany</c:v>
                  </c:pt>
                  <c:pt idx="6">
                    <c:v>Russia</c:v>
                  </c:pt>
                  <c:pt idx="7">
                    <c:v>Canada</c:v>
                  </c:pt>
                  <c:pt idx="8">
                    <c:v>Mexico</c:v>
                  </c:pt>
                  <c:pt idx="9">
                    <c:v>United States</c:v>
                  </c:pt>
                  <c:pt idx="10">
                    <c:v>Australia</c:v>
                  </c:pt>
                  <c:pt idx="11">
                    <c:v>Brazil</c:v>
                  </c:pt>
                </c:lvl>
                <c:lvl>
                  <c:pt idx="0">
                    <c:v>Africa</c:v>
                  </c:pt>
                  <c:pt idx="1">
                    <c:v>Asia</c:v>
                  </c:pt>
                  <c:pt idx="4">
                    <c:v>Europe</c:v>
                  </c:pt>
                  <c:pt idx="7">
                    <c:v>North America</c:v>
                  </c:pt>
                  <c:pt idx="10">
                    <c:v>Oceania</c:v>
                  </c:pt>
                  <c:pt idx="11">
                    <c:v>South America</c:v>
                  </c:pt>
                </c:lvl>
              </c:multiLvlStrCache>
            </c:multiLvlStrRef>
          </c:cat>
          <c:val>
            <c:numRef>
              <c:f>'01_Cost of Living'!$J$40:$J$58</c:f>
              <c:numCache>
                <c:formatCode>General</c:formatCode>
                <c:ptCount val="12"/>
                <c:pt idx="0">
                  <c:v>732.01111111111106</c:v>
                </c:pt>
                <c:pt idx="1">
                  <c:v>455.12562499999984</c:v>
                </c:pt>
                <c:pt idx="2">
                  <c:v>578.34285714285704</c:v>
                </c:pt>
                <c:pt idx="3">
                  <c:v>552.97470588235296</c:v>
                </c:pt>
                <c:pt idx="4">
                  <c:v>1022.5757894736842</c:v>
                </c:pt>
                <c:pt idx="5">
                  <c:v>1211.1608333333334</c:v>
                </c:pt>
                <c:pt idx="6">
                  <c:v>540.56928571428568</c:v>
                </c:pt>
                <c:pt idx="7">
                  <c:v>-607.10699999999986</c:v>
                </c:pt>
                <c:pt idx="8">
                  <c:v>323.7607407407408</c:v>
                </c:pt>
                <c:pt idx="9">
                  <c:v>-102.8292857142857</c:v>
                </c:pt>
                <c:pt idx="10">
                  <c:v>628.57318181818198</c:v>
                </c:pt>
                <c:pt idx="11">
                  <c:v>804.55312500000002</c:v>
                </c:pt>
              </c:numCache>
            </c:numRef>
          </c:val>
          <c:extLst>
            <c:ext xmlns:c16="http://schemas.microsoft.com/office/drawing/2014/chart" uri="{C3380CC4-5D6E-409C-BE32-E72D297353CC}">
              <c16:uniqueId val="{00000000-3DF9-BC4D-AA72-4BCCACA8978D}"/>
            </c:ext>
          </c:extLst>
        </c:ser>
        <c:dLbls>
          <c:showLegendKey val="0"/>
          <c:showVal val="0"/>
          <c:showCatName val="0"/>
          <c:showSerName val="0"/>
          <c:showPercent val="0"/>
          <c:showBubbleSize val="0"/>
        </c:dLbls>
        <c:gapWidth val="199"/>
        <c:axId val="1156080383"/>
        <c:axId val="1156074559"/>
      </c:barChart>
      <c:catAx>
        <c:axId val="115608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solidFill>
                <a:latin typeface="+mn-lt"/>
                <a:ea typeface="+mn-ea"/>
                <a:cs typeface="+mn-cs"/>
              </a:defRPr>
            </a:pPr>
            <a:endParaRPr lang="en-VN"/>
          </a:p>
        </c:txPr>
        <c:crossAx val="1156074559"/>
        <c:crosses val="autoZero"/>
        <c:auto val="1"/>
        <c:lblAlgn val="ctr"/>
        <c:lblOffset val="100"/>
        <c:noMultiLvlLbl val="0"/>
      </c:catAx>
      <c:valAx>
        <c:axId val="115607455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VN"/>
          </a:p>
        </c:txPr>
        <c:crossAx val="115608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8</xdr:col>
      <xdr:colOff>11816</xdr:colOff>
      <xdr:row>12</xdr:row>
      <xdr:rowOff>21643</xdr:rowOff>
    </xdr:from>
    <xdr:to>
      <xdr:col>11</xdr:col>
      <xdr:colOff>0</xdr:colOff>
      <xdr:row>28</xdr:row>
      <xdr:rowOff>1073</xdr:rowOff>
    </xdr:to>
    <xdr:graphicFrame macro="">
      <xdr:nvGraphicFramePr>
        <xdr:cNvPr id="5" name="Chart 4">
          <a:extLst>
            <a:ext uri="{FF2B5EF4-FFF2-40B4-BE49-F238E27FC236}">
              <a16:creationId xmlns:a16="http://schemas.microsoft.com/office/drawing/2014/main" id="{2AE792E0-6A02-41B5-E091-41E79A6DB2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868294</xdr:colOff>
      <xdr:row>59</xdr:row>
      <xdr:rowOff>29540</xdr:rowOff>
    </xdr:from>
    <xdr:to>
      <xdr:col>17</xdr:col>
      <xdr:colOff>13804</xdr:colOff>
      <xdr:row>78</xdr:row>
      <xdr:rowOff>69021</xdr:rowOff>
    </xdr:to>
    <xdr:graphicFrame macro="">
      <xdr:nvGraphicFramePr>
        <xdr:cNvPr id="18" name="Chart 17">
          <a:extLst>
            <a:ext uri="{FF2B5EF4-FFF2-40B4-BE49-F238E27FC236}">
              <a16:creationId xmlns:a16="http://schemas.microsoft.com/office/drawing/2014/main" id="{00069AE1-21E4-5099-6AE3-C1C2EFBC1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0.40211</cdr:x>
      <cdr:y>0.0479</cdr:y>
    </cdr:from>
    <cdr:to>
      <cdr:x>0.67903</cdr:x>
      <cdr:y>0.11377</cdr:y>
    </cdr:to>
    <cdr:sp macro="" textlink="">
      <cdr:nvSpPr>
        <cdr:cNvPr id="2" name="TextBox 1">
          <a:extLst xmlns:a="http://schemas.openxmlformats.org/drawingml/2006/main">
            <a:ext uri="{FF2B5EF4-FFF2-40B4-BE49-F238E27FC236}">
              <a16:creationId xmlns:a16="http://schemas.microsoft.com/office/drawing/2014/main" id="{1B106889-79A7-37A2-7483-584566BDA18B}"/>
            </a:ext>
          </a:extLst>
        </cdr:cNvPr>
        <cdr:cNvSpPr txBox="1"/>
      </cdr:nvSpPr>
      <cdr:spPr>
        <a:xfrm xmlns:a="http://schemas.openxmlformats.org/drawingml/2006/main">
          <a:off x="1714311" y="143099"/>
          <a:ext cx="1180563" cy="1967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0.12048</cdr:x>
      <cdr:y>0.02641</cdr:y>
    </cdr:from>
    <cdr:to>
      <cdr:x>0.89841</cdr:x>
      <cdr:y>0.1187</cdr:y>
    </cdr:to>
    <cdr:sp macro="" textlink="">
      <cdr:nvSpPr>
        <cdr:cNvPr id="3" name="TextBox 2">
          <a:extLst xmlns:a="http://schemas.openxmlformats.org/drawingml/2006/main">
            <a:ext uri="{FF2B5EF4-FFF2-40B4-BE49-F238E27FC236}">
              <a16:creationId xmlns:a16="http://schemas.microsoft.com/office/drawing/2014/main" id="{881BAD82-F618-3B5E-2666-EF5AAFB4103B}"/>
            </a:ext>
          </a:extLst>
        </cdr:cNvPr>
        <cdr:cNvSpPr txBox="1"/>
      </cdr:nvSpPr>
      <cdr:spPr>
        <a:xfrm xmlns:a="http://schemas.openxmlformats.org/drawingml/2006/main">
          <a:off x="572384" y="79957"/>
          <a:ext cx="3695700" cy="279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b="1">
              <a:solidFill>
                <a:schemeClr val="accent3">
                  <a:lumMod val="75000"/>
                </a:schemeClr>
              </a:solidFill>
            </a:rPr>
            <a:t>Average Monthly Income vs. Average Cost of Living by Region</a:t>
          </a:r>
          <a:endParaRPr lang="en-US" sz="1100" b="1" kern="1200">
            <a:solidFill>
              <a:schemeClr val="accent3">
                <a:lumMod val="75000"/>
              </a:schemeClr>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2</xdr:col>
      <xdr:colOff>57</xdr:colOff>
      <xdr:row>17</xdr:row>
      <xdr:rowOff>10160</xdr:rowOff>
    </xdr:from>
    <xdr:to>
      <xdr:col>8</xdr:col>
      <xdr:colOff>821549</xdr:colOff>
      <xdr:row>35</xdr:row>
      <xdr:rowOff>47037</xdr:rowOff>
    </xdr:to>
    <xdr:graphicFrame macro="">
      <xdr:nvGraphicFramePr>
        <xdr:cNvPr id="2" name="Chart 1">
          <a:extLst>
            <a:ext uri="{FF2B5EF4-FFF2-40B4-BE49-F238E27FC236}">
              <a16:creationId xmlns:a16="http://schemas.microsoft.com/office/drawing/2014/main" id="{DEE95CF4-96B3-FF4E-A2A6-939C589E8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16934</xdr:colOff>
      <xdr:row>44</xdr:row>
      <xdr:rowOff>0</xdr:rowOff>
    </xdr:from>
    <xdr:to>
      <xdr:col>8</xdr:col>
      <xdr:colOff>812801</xdr:colOff>
      <xdr:row>65</xdr:row>
      <xdr:rowOff>3037</xdr:rowOff>
    </xdr:to>
    <xdr:graphicFrame macro="">
      <xdr:nvGraphicFramePr>
        <xdr:cNvPr id="6" name="Chart 5">
          <a:extLst>
            <a:ext uri="{FF2B5EF4-FFF2-40B4-BE49-F238E27FC236}">
              <a16:creationId xmlns:a16="http://schemas.microsoft.com/office/drawing/2014/main" id="{A48CC384-9434-8A4F-8236-796CEEC53F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0.40211</cdr:x>
      <cdr:y>0.0479</cdr:y>
    </cdr:from>
    <cdr:to>
      <cdr:x>0.67903</cdr:x>
      <cdr:y>0.11377</cdr:y>
    </cdr:to>
    <cdr:sp macro="" textlink="">
      <cdr:nvSpPr>
        <cdr:cNvPr id="2" name="TextBox 1">
          <a:extLst xmlns:a="http://schemas.openxmlformats.org/drawingml/2006/main">
            <a:ext uri="{FF2B5EF4-FFF2-40B4-BE49-F238E27FC236}">
              <a16:creationId xmlns:a16="http://schemas.microsoft.com/office/drawing/2014/main" id="{1B106889-79A7-37A2-7483-584566BDA18B}"/>
            </a:ext>
          </a:extLst>
        </cdr:cNvPr>
        <cdr:cNvSpPr txBox="1"/>
      </cdr:nvSpPr>
      <cdr:spPr>
        <a:xfrm xmlns:a="http://schemas.openxmlformats.org/drawingml/2006/main">
          <a:off x="1714311" y="143099"/>
          <a:ext cx="1180563" cy="1967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0.01269</cdr:x>
      <cdr:y>0.0039</cdr:y>
    </cdr:from>
    <cdr:to>
      <cdr:x>0.97762</cdr:x>
      <cdr:y>0.1187</cdr:y>
    </cdr:to>
    <cdr:sp macro="" textlink="">
      <cdr:nvSpPr>
        <cdr:cNvPr id="3" name="TextBox 2">
          <a:extLst xmlns:a="http://schemas.openxmlformats.org/drawingml/2006/main">
            <a:ext uri="{FF2B5EF4-FFF2-40B4-BE49-F238E27FC236}">
              <a16:creationId xmlns:a16="http://schemas.microsoft.com/office/drawing/2014/main" id="{881BAD82-F618-3B5E-2666-EF5AAFB4103B}"/>
            </a:ext>
          </a:extLst>
        </cdr:cNvPr>
        <cdr:cNvSpPr txBox="1"/>
      </cdr:nvSpPr>
      <cdr:spPr>
        <a:xfrm xmlns:a="http://schemas.openxmlformats.org/drawingml/2006/main">
          <a:off x="105778" y="13358"/>
          <a:ext cx="8043332" cy="39301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2200" b="1">
              <a:solidFill>
                <a:schemeClr val="bg2">
                  <a:lumMod val="50000"/>
                </a:schemeClr>
              </a:solidFill>
              <a:latin typeface="+mj-lt"/>
            </a:rPr>
            <a:t>Average Monthly Income vs. Average Cost of Living by Region</a:t>
          </a:r>
          <a:endParaRPr lang="en-US" sz="2200" b="1" kern="1200">
            <a:solidFill>
              <a:schemeClr val="bg2">
                <a:lumMod val="50000"/>
              </a:schemeClr>
            </a:solidFill>
            <a:latin typeface="+mj-lt"/>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ocancaitenhay@gmail.com" refreshedDate="45963.769630902774" createdVersion="8" refreshedVersion="8" minRefreshableVersion="3" recordCount="199" xr:uid="{B70E0969-5335-F04D-B796-2E1F4650A117}">
  <cacheSource type="worksheet">
    <worksheetSource name="Table1"/>
  </cacheSource>
  <cacheFields count="6">
    <cacheField name="Country" numFmtId="0">
      <sharedItems count="12">
        <s v="Russia"/>
        <s v="South Africa"/>
        <s v="Mexico"/>
        <s v="Japan"/>
        <s v="Brazil"/>
        <s v="Australia"/>
        <s v="United States"/>
        <s v="India"/>
        <s v="Canada"/>
        <s v="France"/>
        <s v="China"/>
        <s v="Germany"/>
      </sharedItems>
    </cacheField>
    <cacheField name="Year" numFmtId="0">
      <sharedItems containsSemiMixedTypes="0" containsString="0" containsNumber="1" containsInteger="1" minValue="2000" maxValue="2023"/>
    </cacheField>
    <cacheField name="Average_Monthly_Income" numFmtId="0">
      <sharedItems containsSemiMixedTypes="0" containsString="0" containsNumber="1" minValue="534.74" maxValue="7976.56"/>
    </cacheField>
    <cacheField name="Cost_of_Living" numFmtId="0">
      <sharedItems containsSemiMixedTypes="0" containsString="0" containsNumber="1" minValue="464.49" maxValue="6981.02"/>
    </cacheField>
    <cacheField name="Region" numFmtId="0">
      <sharedItems count="6">
        <s v="Europe"/>
        <s v="Africa"/>
        <s v="North America"/>
        <s v="Asia"/>
        <s v="South America"/>
        <s v="Oceania"/>
      </sharedItems>
    </cacheField>
    <cacheField name="remaining money" numFmtId="0">
      <sharedItems containsSemiMixedTypes="0" containsString="0" containsNumber="1" minValue="-5570.51" maxValue="6957.55"/>
    </cacheField>
  </cacheFields>
  <extLst>
    <ext xmlns:x14="http://schemas.microsoft.com/office/spreadsheetml/2009/9/main" uri="{725AE2AE-9491-48be-B2B4-4EB974FC3084}">
      <x14:pivotCacheDefinition pivotCacheId="4700569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
  <r>
    <x v="0"/>
    <n v="2000"/>
    <n v="4787.1000000000004"/>
    <n v="4940.05"/>
    <x v="0"/>
    <n v="-152.94999999999982"/>
  </r>
  <r>
    <x v="1"/>
    <n v="2000"/>
    <n v="4859.29"/>
    <n v="6794.59"/>
    <x v="1"/>
    <n v="-1935.3000000000002"/>
  </r>
  <r>
    <x v="2"/>
    <n v="2000"/>
    <n v="3588.81"/>
    <n v="5645.74"/>
    <x v="2"/>
    <n v="-2056.9299999999998"/>
  </r>
  <r>
    <x v="2"/>
    <n v="2000"/>
    <n v="3116.51"/>
    <n v="4978.3"/>
    <x v="2"/>
    <n v="-1861.79"/>
  </r>
  <r>
    <x v="3"/>
    <n v="2000"/>
    <n v="7537.55"/>
    <n v="6675.7"/>
    <x v="3"/>
    <n v="861.85000000000036"/>
  </r>
  <r>
    <x v="4"/>
    <n v="2000"/>
    <n v="1859.25"/>
    <n v="1396.98"/>
    <x v="4"/>
    <n v="462.27"/>
  </r>
  <r>
    <x v="5"/>
    <n v="2000"/>
    <n v="7361.34"/>
    <n v="1716.98"/>
    <x v="5"/>
    <n v="5644.3600000000006"/>
  </r>
  <r>
    <x v="6"/>
    <n v="2000"/>
    <n v="6316.46"/>
    <n v="6421.6"/>
    <x v="2"/>
    <n v="-105.14000000000033"/>
  </r>
  <r>
    <x v="7"/>
    <n v="2000"/>
    <n v="4697.3"/>
    <n v="1268.3499999999999"/>
    <x v="3"/>
    <n v="3428.9500000000003"/>
  </r>
  <r>
    <x v="3"/>
    <n v="2001"/>
    <n v="2318.0700000000002"/>
    <n v="4498.04"/>
    <x v="3"/>
    <n v="-2179.9699999999998"/>
  </r>
  <r>
    <x v="8"/>
    <n v="2001"/>
    <n v="2917.65"/>
    <n v="4909.75"/>
    <x v="2"/>
    <n v="-1992.1"/>
  </r>
  <r>
    <x v="9"/>
    <n v="2001"/>
    <n v="1727.42"/>
    <n v="3101.6"/>
    <x v="0"/>
    <n v="-1374.1799999999998"/>
  </r>
  <r>
    <x v="7"/>
    <n v="2001"/>
    <n v="6624.5"/>
    <n v="3523.19"/>
    <x v="3"/>
    <n v="3101.31"/>
  </r>
  <r>
    <x v="2"/>
    <n v="2001"/>
    <n v="6031.26"/>
    <n v="4747.47"/>
    <x v="2"/>
    <n v="1283.79"/>
  </r>
  <r>
    <x v="10"/>
    <n v="2002"/>
    <n v="4036.82"/>
    <n v="1479.92"/>
    <x v="3"/>
    <n v="2556.9"/>
  </r>
  <r>
    <x v="9"/>
    <n v="2002"/>
    <n v="5981.51"/>
    <n v="2203.5100000000002"/>
    <x v="0"/>
    <n v="3778"/>
  </r>
  <r>
    <x v="10"/>
    <n v="2002"/>
    <n v="5488.98"/>
    <n v="1806.49"/>
    <x v="3"/>
    <n v="3682.49"/>
  </r>
  <r>
    <x v="8"/>
    <n v="2002"/>
    <n v="1544.54"/>
    <n v="4924.7299999999996"/>
    <x v="2"/>
    <n v="-3380.1899999999996"/>
  </r>
  <r>
    <x v="10"/>
    <n v="2002"/>
    <n v="5150.55"/>
    <n v="1723.46"/>
    <x v="3"/>
    <n v="3427.09"/>
  </r>
  <r>
    <x v="10"/>
    <n v="2002"/>
    <n v="1329.74"/>
    <n v="4986.88"/>
    <x v="3"/>
    <n v="-3657.1400000000003"/>
  </r>
  <r>
    <x v="10"/>
    <n v="2002"/>
    <n v="635.83000000000004"/>
    <n v="5683.87"/>
    <x v="3"/>
    <n v="-5048.04"/>
  </r>
  <r>
    <x v="3"/>
    <n v="2002"/>
    <n v="1349.29"/>
    <n v="5777.85"/>
    <x v="3"/>
    <n v="-4428.5600000000004"/>
  </r>
  <r>
    <x v="2"/>
    <n v="2002"/>
    <n v="2074.29"/>
    <n v="3294.86"/>
    <x v="2"/>
    <n v="-1220.5700000000002"/>
  </r>
  <r>
    <x v="6"/>
    <n v="2002"/>
    <n v="3899.67"/>
    <n v="1790.37"/>
    <x v="2"/>
    <n v="2109.3000000000002"/>
  </r>
  <r>
    <x v="5"/>
    <n v="2003"/>
    <n v="4675.72"/>
    <n v="6585.71"/>
    <x v="5"/>
    <n v="-1909.9899999999998"/>
  </r>
  <r>
    <x v="1"/>
    <n v="2003"/>
    <n v="4307.08"/>
    <n v="2682.83"/>
    <x v="1"/>
    <n v="1624.25"/>
  </r>
  <r>
    <x v="2"/>
    <n v="2003"/>
    <n v="888.68"/>
    <n v="562.27"/>
    <x v="2"/>
    <n v="326.40999999999997"/>
  </r>
  <r>
    <x v="2"/>
    <n v="2003"/>
    <n v="2760.33"/>
    <n v="5525.54"/>
    <x v="2"/>
    <n v="-2765.21"/>
  </r>
  <r>
    <x v="1"/>
    <n v="2003"/>
    <n v="4576.6499999999996"/>
    <n v="614.66999999999996"/>
    <x v="1"/>
    <n v="3961.9799999999996"/>
  </r>
  <r>
    <x v="11"/>
    <n v="2003"/>
    <n v="5181.78"/>
    <n v="4469.8900000000003"/>
    <x v="0"/>
    <n v="711.88999999999942"/>
  </r>
  <r>
    <x v="11"/>
    <n v="2003"/>
    <n v="7204.19"/>
    <n v="823.78"/>
    <x v="0"/>
    <n v="6380.41"/>
  </r>
  <r>
    <x v="1"/>
    <n v="2003"/>
    <n v="5704.61"/>
    <n v="4479.83"/>
    <x v="1"/>
    <n v="1224.7799999999997"/>
  </r>
  <r>
    <x v="2"/>
    <n v="2003"/>
    <n v="5724.88"/>
    <n v="4600.4399999999996"/>
    <x v="2"/>
    <n v="1124.4400000000005"/>
  </r>
  <r>
    <x v="8"/>
    <n v="2003"/>
    <n v="1835.27"/>
    <n v="6130.6"/>
    <x v="2"/>
    <n v="-4295.33"/>
  </r>
  <r>
    <x v="2"/>
    <n v="2003"/>
    <n v="7708.03"/>
    <n v="5199.32"/>
    <x v="2"/>
    <n v="2508.71"/>
  </r>
  <r>
    <x v="0"/>
    <n v="2004"/>
    <n v="6991.3"/>
    <n v="3972.36"/>
    <x v="0"/>
    <n v="3018.94"/>
  </r>
  <r>
    <x v="0"/>
    <n v="2004"/>
    <n v="2599.84"/>
    <n v="847.72"/>
    <x v="0"/>
    <n v="1752.1200000000001"/>
  </r>
  <r>
    <x v="1"/>
    <n v="2004"/>
    <n v="3690.77"/>
    <n v="4242.33"/>
    <x v="1"/>
    <n v="-551.55999999999995"/>
  </r>
  <r>
    <x v="8"/>
    <n v="2004"/>
    <n v="4108.55"/>
    <n v="1258.57"/>
    <x v="2"/>
    <n v="2849.9800000000005"/>
  </r>
  <r>
    <x v="5"/>
    <n v="2004"/>
    <n v="7737.7"/>
    <n v="4891.3"/>
    <x v="5"/>
    <n v="2846.3999999999996"/>
  </r>
  <r>
    <x v="8"/>
    <n v="2004"/>
    <n v="7548.74"/>
    <n v="3578.05"/>
    <x v="2"/>
    <n v="3970.6899999999996"/>
  </r>
  <r>
    <x v="9"/>
    <n v="2004"/>
    <n v="751.49"/>
    <n v="476.7"/>
    <x v="0"/>
    <n v="274.79000000000002"/>
  </r>
  <r>
    <x v="4"/>
    <n v="2004"/>
    <n v="5085.91"/>
    <n v="4950.47"/>
    <x v="4"/>
    <n v="135.4399999999996"/>
  </r>
  <r>
    <x v="4"/>
    <n v="2004"/>
    <n v="3881.3"/>
    <n v="2640.37"/>
    <x v="4"/>
    <n v="1240.9300000000003"/>
  </r>
  <r>
    <x v="3"/>
    <n v="2004"/>
    <n v="3891.63"/>
    <n v="3688.09"/>
    <x v="3"/>
    <n v="203.53999999999996"/>
  </r>
  <r>
    <x v="5"/>
    <n v="2004"/>
    <n v="2184.54"/>
    <n v="4065.4"/>
    <x v="5"/>
    <n v="-1880.8600000000001"/>
  </r>
  <r>
    <x v="4"/>
    <n v="2005"/>
    <n v="6521.4"/>
    <n v="2030.88"/>
    <x v="4"/>
    <n v="4490.5199999999995"/>
  </r>
  <r>
    <x v="6"/>
    <n v="2005"/>
    <n v="3893.3"/>
    <n v="5146.7299999999996"/>
    <x v="2"/>
    <n v="-1253.4299999999994"/>
  </r>
  <r>
    <x v="11"/>
    <n v="2005"/>
    <n v="1614.97"/>
    <n v="5301.86"/>
    <x v="0"/>
    <n v="-3686.8899999999994"/>
  </r>
  <r>
    <x v="9"/>
    <n v="2005"/>
    <n v="1664.3"/>
    <n v="5124.4399999999996"/>
    <x v="0"/>
    <n v="-3460.1399999999994"/>
  </r>
  <r>
    <x v="5"/>
    <n v="2005"/>
    <n v="6963.39"/>
    <n v="1585.91"/>
    <x v="5"/>
    <n v="5377.4800000000005"/>
  </r>
  <r>
    <x v="3"/>
    <n v="2006"/>
    <n v="7470.32"/>
    <n v="1076.56"/>
    <x v="3"/>
    <n v="6393.76"/>
  </r>
  <r>
    <x v="5"/>
    <n v="2006"/>
    <n v="3970.1"/>
    <n v="6132.91"/>
    <x v="5"/>
    <n v="-2162.81"/>
  </r>
  <r>
    <x v="1"/>
    <n v="2006"/>
    <n v="2837.92"/>
    <n v="5663.89"/>
    <x v="1"/>
    <n v="-2825.9700000000003"/>
  </r>
  <r>
    <x v="3"/>
    <n v="2006"/>
    <n v="4875.4399999999996"/>
    <n v="979.92"/>
    <x v="3"/>
    <n v="3895.5199999999995"/>
  </r>
  <r>
    <x v="2"/>
    <n v="2006"/>
    <n v="4822.16"/>
    <n v="743.01"/>
    <x v="2"/>
    <n v="4079.1499999999996"/>
  </r>
  <r>
    <x v="5"/>
    <n v="2006"/>
    <n v="7507.75"/>
    <n v="5112.97"/>
    <x v="5"/>
    <n v="2394.7799999999997"/>
  </r>
  <r>
    <x v="10"/>
    <n v="2006"/>
    <n v="534.74"/>
    <n v="1452.99"/>
    <x v="3"/>
    <n v="-918.25"/>
  </r>
  <r>
    <x v="0"/>
    <n v="2006"/>
    <n v="598.21"/>
    <n v="2100.71"/>
    <x v="0"/>
    <n v="-1502.5"/>
  </r>
  <r>
    <x v="8"/>
    <n v="2006"/>
    <n v="4266.46"/>
    <n v="6918.49"/>
    <x v="2"/>
    <n v="-2652.0299999999997"/>
  </r>
  <r>
    <x v="2"/>
    <n v="2006"/>
    <n v="4270.3999999999996"/>
    <n v="4219.26"/>
    <x v="2"/>
    <n v="51.139999999999418"/>
  </r>
  <r>
    <x v="5"/>
    <n v="2006"/>
    <n v="992.81"/>
    <n v="4309.51"/>
    <x v="5"/>
    <n v="-3316.7000000000003"/>
  </r>
  <r>
    <x v="3"/>
    <n v="2007"/>
    <n v="998.72"/>
    <n v="3253.41"/>
    <x v="3"/>
    <n v="-2254.6899999999996"/>
  </r>
  <r>
    <x v="4"/>
    <n v="2007"/>
    <n v="7079"/>
    <n v="2832.27"/>
    <x v="4"/>
    <n v="4246.7299999999996"/>
  </r>
  <r>
    <x v="0"/>
    <n v="2007"/>
    <n v="4530.47"/>
    <n v="6840.71"/>
    <x v="0"/>
    <n v="-2310.2399999999998"/>
  </r>
  <r>
    <x v="7"/>
    <n v="2007"/>
    <n v="1822.9"/>
    <n v="6975.8"/>
    <x v="3"/>
    <n v="-5152.8999999999996"/>
  </r>
  <r>
    <x v="2"/>
    <n v="2007"/>
    <n v="4040.5"/>
    <n v="3183.36"/>
    <x v="2"/>
    <n v="857.13999999999987"/>
  </r>
  <r>
    <x v="2"/>
    <n v="2008"/>
    <n v="3327.08"/>
    <n v="1624.47"/>
    <x v="2"/>
    <n v="1702.61"/>
  </r>
  <r>
    <x v="10"/>
    <n v="2008"/>
    <n v="5207.8100000000004"/>
    <n v="1174.23"/>
    <x v="3"/>
    <n v="4033.5800000000004"/>
  </r>
  <r>
    <x v="9"/>
    <n v="2008"/>
    <n v="6848.39"/>
    <n v="6076.81"/>
    <x v="0"/>
    <n v="771.57999999999993"/>
  </r>
  <r>
    <x v="2"/>
    <n v="2008"/>
    <n v="2388.4899999999998"/>
    <n v="4093.68"/>
    <x v="2"/>
    <n v="-1705.19"/>
  </r>
  <r>
    <x v="0"/>
    <n v="2008"/>
    <n v="7313.38"/>
    <n v="3816.9"/>
    <x v="0"/>
    <n v="3496.48"/>
  </r>
  <r>
    <x v="3"/>
    <n v="2008"/>
    <n v="4934.57"/>
    <n v="3874.26"/>
    <x v="3"/>
    <n v="1060.3099999999995"/>
  </r>
  <r>
    <x v="10"/>
    <n v="2008"/>
    <n v="3097.59"/>
    <n v="1601.98"/>
    <x v="3"/>
    <n v="1495.6100000000001"/>
  </r>
  <r>
    <x v="9"/>
    <n v="2008"/>
    <n v="4736.3100000000004"/>
    <n v="2227.06"/>
    <x v="0"/>
    <n v="2509.2500000000005"/>
  </r>
  <r>
    <x v="4"/>
    <n v="2009"/>
    <n v="1902.83"/>
    <n v="5073.9399999999996"/>
    <x v="4"/>
    <n v="-3171.1099999999997"/>
  </r>
  <r>
    <x v="4"/>
    <n v="2009"/>
    <n v="5079.6499999999996"/>
    <n v="6152.14"/>
    <x v="4"/>
    <n v="-1072.4900000000007"/>
  </r>
  <r>
    <x v="5"/>
    <n v="2009"/>
    <n v="6058.4"/>
    <n v="6627.87"/>
    <x v="5"/>
    <n v="-569.47000000000025"/>
  </r>
  <r>
    <x v="11"/>
    <n v="2009"/>
    <n v="3443.34"/>
    <n v="6104.76"/>
    <x v="0"/>
    <n v="-2661.42"/>
  </r>
  <r>
    <x v="8"/>
    <n v="2009"/>
    <n v="1376.74"/>
    <n v="5657.15"/>
    <x v="2"/>
    <n v="-4280.41"/>
  </r>
  <r>
    <x v="5"/>
    <n v="2009"/>
    <n v="6023.33"/>
    <n v="6148.4"/>
    <x v="5"/>
    <n v="-125.06999999999971"/>
  </r>
  <r>
    <x v="4"/>
    <n v="2009"/>
    <n v="3492.52"/>
    <n v="5228.49"/>
    <x v="4"/>
    <n v="-1735.9699999999998"/>
  </r>
  <r>
    <x v="9"/>
    <n v="2009"/>
    <n v="7398.92"/>
    <n v="2623.51"/>
    <x v="0"/>
    <n v="4775.41"/>
  </r>
  <r>
    <x v="2"/>
    <n v="2009"/>
    <n v="4965.3900000000003"/>
    <n v="664.72"/>
    <x v="2"/>
    <n v="4300.67"/>
  </r>
  <r>
    <x v="2"/>
    <n v="2010"/>
    <n v="6729.65"/>
    <n v="943.71"/>
    <x v="2"/>
    <n v="5785.94"/>
  </r>
  <r>
    <x v="4"/>
    <n v="2010"/>
    <n v="4808.55"/>
    <n v="3170.2"/>
    <x v="4"/>
    <n v="1638.3500000000004"/>
  </r>
  <r>
    <x v="7"/>
    <n v="2010"/>
    <n v="7246.81"/>
    <n v="4533.05"/>
    <x v="3"/>
    <n v="2713.76"/>
  </r>
  <r>
    <x v="1"/>
    <n v="2010"/>
    <n v="6791.74"/>
    <n v="6305.79"/>
    <x v="1"/>
    <n v="485.94999999999982"/>
  </r>
  <r>
    <x v="8"/>
    <n v="2010"/>
    <n v="1434.97"/>
    <n v="4014.11"/>
    <x v="2"/>
    <n v="-2579.1400000000003"/>
  </r>
  <r>
    <x v="1"/>
    <n v="2011"/>
    <n v="6628.04"/>
    <n v="6755.75"/>
    <x v="1"/>
    <n v="-127.71000000000004"/>
  </r>
  <r>
    <x v="0"/>
    <n v="2011"/>
    <n v="6201.71"/>
    <n v="3212.8"/>
    <x v="0"/>
    <n v="2988.91"/>
  </r>
  <r>
    <x v="7"/>
    <n v="2011"/>
    <n v="1432.23"/>
    <n v="4719.7700000000004"/>
    <x v="3"/>
    <n v="-3287.5400000000004"/>
  </r>
  <r>
    <x v="9"/>
    <n v="2011"/>
    <n v="6813.72"/>
    <n v="4614.2700000000004"/>
    <x v="0"/>
    <n v="2199.4499999999998"/>
  </r>
  <r>
    <x v="11"/>
    <n v="2011"/>
    <n v="6464.5"/>
    <n v="2209.8200000000002"/>
    <x v="0"/>
    <n v="4254.68"/>
  </r>
  <r>
    <x v="1"/>
    <n v="2011"/>
    <n v="4774.17"/>
    <n v="878.15"/>
    <x v="1"/>
    <n v="3896.02"/>
  </r>
  <r>
    <x v="6"/>
    <n v="2011"/>
    <n v="4570.43"/>
    <n v="5036.2700000000004"/>
    <x v="2"/>
    <n v="-465.84000000000015"/>
  </r>
  <r>
    <x v="1"/>
    <n v="2011"/>
    <n v="1861.98"/>
    <n v="2554.64"/>
    <x v="1"/>
    <n v="-692.65999999999985"/>
  </r>
  <r>
    <x v="5"/>
    <n v="2011"/>
    <n v="7040.93"/>
    <n v="1720.99"/>
    <x v="5"/>
    <n v="5319.9400000000005"/>
  </r>
  <r>
    <x v="6"/>
    <n v="2011"/>
    <n v="4391.29"/>
    <n v="4647.6099999999997"/>
    <x v="2"/>
    <n v="-256.31999999999971"/>
  </r>
  <r>
    <x v="3"/>
    <n v="2011"/>
    <n v="910.71"/>
    <n v="938.76"/>
    <x v="3"/>
    <n v="-28.049999999999955"/>
  </r>
  <r>
    <x v="9"/>
    <n v="2011"/>
    <n v="1140.1199999999999"/>
    <n v="2683.17"/>
    <x v="0"/>
    <n v="-1543.0500000000002"/>
  </r>
  <r>
    <x v="8"/>
    <n v="2011"/>
    <n v="7595.87"/>
    <n v="1967.79"/>
    <x v="2"/>
    <n v="5628.08"/>
  </r>
  <r>
    <x v="11"/>
    <n v="2012"/>
    <n v="4494.42"/>
    <n v="5404.54"/>
    <x v="0"/>
    <n v="-910.11999999999989"/>
  </r>
  <r>
    <x v="5"/>
    <n v="2012"/>
    <n v="1548.29"/>
    <n v="3024.12"/>
    <x v="5"/>
    <n v="-1475.83"/>
  </r>
  <r>
    <x v="6"/>
    <n v="2012"/>
    <n v="2241.6"/>
    <n v="5422.76"/>
    <x v="2"/>
    <n v="-3181.1600000000003"/>
  </r>
  <r>
    <x v="4"/>
    <n v="2012"/>
    <n v="3065.61"/>
    <n v="4360.1400000000003"/>
    <x v="4"/>
    <n v="-1294.5300000000002"/>
  </r>
  <r>
    <x v="9"/>
    <n v="2012"/>
    <n v="5916.89"/>
    <n v="6911.97"/>
    <x v="0"/>
    <n v="-995.07999999999993"/>
  </r>
  <r>
    <x v="11"/>
    <n v="2012"/>
    <n v="5050.3599999999997"/>
    <n v="3972.56"/>
    <x v="0"/>
    <n v="1077.7999999999997"/>
  </r>
  <r>
    <x v="5"/>
    <n v="2012"/>
    <n v="3486.27"/>
    <n v="1846.81"/>
    <x v="5"/>
    <n v="1639.46"/>
  </r>
  <r>
    <x v="5"/>
    <n v="2012"/>
    <n v="4407.1400000000003"/>
    <n v="4692.1499999999996"/>
    <x v="5"/>
    <n v="-285.00999999999931"/>
  </r>
  <r>
    <x v="3"/>
    <n v="2012"/>
    <n v="5476.53"/>
    <n v="3453.31"/>
    <x v="3"/>
    <n v="2023.2199999999998"/>
  </r>
  <r>
    <x v="7"/>
    <n v="2012"/>
    <n v="7235.41"/>
    <n v="5186.7"/>
    <x v="3"/>
    <n v="2048.71"/>
  </r>
  <r>
    <x v="0"/>
    <n v="2012"/>
    <n v="2038.55"/>
    <n v="3612.02"/>
    <x v="0"/>
    <n v="-1573.47"/>
  </r>
  <r>
    <x v="9"/>
    <n v="2012"/>
    <n v="4432.93"/>
    <n v="4511.58"/>
    <x v="0"/>
    <n v="-78.649999999999636"/>
  </r>
  <r>
    <x v="1"/>
    <n v="2012"/>
    <n v="3299.82"/>
    <n v="6811.21"/>
    <x v="1"/>
    <n v="-3511.39"/>
  </r>
  <r>
    <x v="0"/>
    <n v="2012"/>
    <n v="2530.59"/>
    <n v="1594.45"/>
    <x v="0"/>
    <n v="936.1400000000001"/>
  </r>
  <r>
    <x v="5"/>
    <n v="2013"/>
    <n v="3483.92"/>
    <n v="1106.07"/>
    <x v="5"/>
    <n v="2377.8500000000004"/>
  </r>
  <r>
    <x v="7"/>
    <n v="2013"/>
    <n v="2012.2"/>
    <n v="6894.25"/>
    <x v="3"/>
    <n v="-4882.05"/>
  </r>
  <r>
    <x v="6"/>
    <n v="2013"/>
    <n v="3506.39"/>
    <n v="2714.14"/>
    <x v="2"/>
    <n v="792.25"/>
  </r>
  <r>
    <x v="1"/>
    <n v="2013"/>
    <n v="7441.76"/>
    <n v="5691.41"/>
    <x v="1"/>
    <n v="1750.3500000000004"/>
  </r>
  <r>
    <x v="5"/>
    <n v="2013"/>
    <n v="3001.24"/>
    <n v="6153.77"/>
    <x v="5"/>
    <n v="-3152.5300000000007"/>
  </r>
  <r>
    <x v="3"/>
    <n v="2014"/>
    <n v="1650.14"/>
    <n v="3019.69"/>
    <x v="3"/>
    <n v="-1369.55"/>
  </r>
  <r>
    <x v="3"/>
    <n v="2014"/>
    <n v="7024.22"/>
    <n v="3385.3"/>
    <x v="3"/>
    <n v="3638.92"/>
  </r>
  <r>
    <x v="9"/>
    <n v="2014"/>
    <n v="5330"/>
    <n v="6038.94"/>
    <x v="0"/>
    <n v="-708.9399999999996"/>
  </r>
  <r>
    <x v="4"/>
    <n v="2015"/>
    <n v="2434.27"/>
    <n v="2656.36"/>
    <x v="4"/>
    <n v="-222.09000000000015"/>
  </r>
  <r>
    <x v="5"/>
    <n v="2015"/>
    <n v="1781.66"/>
    <n v="4575.3"/>
    <x v="5"/>
    <n v="-2793.6400000000003"/>
  </r>
  <r>
    <x v="4"/>
    <n v="2015"/>
    <n v="3024.53"/>
    <n v="546.02"/>
    <x v="4"/>
    <n v="2478.5100000000002"/>
  </r>
  <r>
    <x v="2"/>
    <n v="2015"/>
    <n v="975.31"/>
    <n v="3625.05"/>
    <x v="2"/>
    <n v="-2649.7400000000002"/>
  </r>
  <r>
    <x v="2"/>
    <n v="2015"/>
    <n v="4500.96"/>
    <n v="3644.52"/>
    <x v="2"/>
    <n v="856.44"/>
  </r>
  <r>
    <x v="9"/>
    <n v="2015"/>
    <n v="1624.38"/>
    <n v="1092.54"/>
    <x v="0"/>
    <n v="531.84000000000015"/>
  </r>
  <r>
    <x v="6"/>
    <n v="2015"/>
    <n v="4896.72"/>
    <n v="1275.92"/>
    <x v="2"/>
    <n v="3620.8"/>
  </r>
  <r>
    <x v="1"/>
    <n v="2015"/>
    <n v="1644.04"/>
    <n v="6579"/>
    <x v="1"/>
    <n v="-4934.96"/>
  </r>
  <r>
    <x v="4"/>
    <n v="2015"/>
    <n v="4237.76"/>
    <n v="6833.63"/>
    <x v="4"/>
    <n v="-2595.87"/>
  </r>
  <r>
    <x v="6"/>
    <n v="2015"/>
    <n v="690.4"/>
    <n v="2031.73"/>
    <x v="2"/>
    <n v="-1341.33"/>
  </r>
  <r>
    <x v="2"/>
    <n v="2016"/>
    <n v="6574.06"/>
    <n v="3342.96"/>
    <x v="2"/>
    <n v="3231.1000000000004"/>
  </r>
  <r>
    <x v="10"/>
    <n v="2016"/>
    <n v="3191.23"/>
    <n v="4701"/>
    <x v="3"/>
    <n v="-1509.77"/>
  </r>
  <r>
    <x v="11"/>
    <n v="2016"/>
    <n v="6455.19"/>
    <n v="3240.02"/>
    <x v="0"/>
    <n v="3215.1699999999996"/>
  </r>
  <r>
    <x v="7"/>
    <n v="2016"/>
    <n v="1637.56"/>
    <n v="2175.36"/>
    <x v="3"/>
    <n v="-537.80000000000018"/>
  </r>
  <r>
    <x v="4"/>
    <n v="2016"/>
    <n v="6218.44"/>
    <n v="2990.46"/>
    <x v="4"/>
    <n v="3227.9799999999996"/>
  </r>
  <r>
    <x v="2"/>
    <n v="2016"/>
    <n v="1456.16"/>
    <n v="5547.02"/>
    <x v="2"/>
    <n v="-4090.8600000000006"/>
  </r>
  <r>
    <x v="2"/>
    <n v="2016"/>
    <n v="3479.65"/>
    <n v="661.48"/>
    <x v="2"/>
    <n v="2818.17"/>
  </r>
  <r>
    <x v="9"/>
    <n v="2016"/>
    <n v="5308.61"/>
    <n v="3692.66"/>
    <x v="0"/>
    <n v="1615.9499999999998"/>
  </r>
  <r>
    <x v="6"/>
    <n v="2016"/>
    <n v="3013.98"/>
    <n v="798.32"/>
    <x v="2"/>
    <n v="2215.66"/>
  </r>
  <r>
    <x v="5"/>
    <n v="2016"/>
    <n v="5241.9799999999996"/>
    <n v="602.30999999999995"/>
    <x v="5"/>
    <n v="4639.67"/>
  </r>
  <r>
    <x v="0"/>
    <n v="2016"/>
    <n v="3805.72"/>
    <n v="4568.3"/>
    <x v="0"/>
    <n v="-762.58000000000038"/>
  </r>
  <r>
    <x v="0"/>
    <n v="2017"/>
    <n v="4967.29"/>
    <n v="3379.15"/>
    <x v="0"/>
    <n v="1588.1399999999999"/>
  </r>
  <r>
    <x v="11"/>
    <n v="2017"/>
    <n v="6609.31"/>
    <n v="1917.7"/>
    <x v="0"/>
    <n v="4691.6100000000006"/>
  </r>
  <r>
    <x v="3"/>
    <n v="2017"/>
    <n v="4270.3999999999996"/>
    <n v="5975.57"/>
    <x v="3"/>
    <n v="-1705.17"/>
  </r>
  <r>
    <x v="10"/>
    <n v="2017"/>
    <n v="6414.48"/>
    <n v="4241.01"/>
    <x v="3"/>
    <n v="2173.4699999999993"/>
  </r>
  <r>
    <x v="0"/>
    <n v="2017"/>
    <n v="7406.31"/>
    <n v="5794.17"/>
    <x v="0"/>
    <n v="1612.1400000000003"/>
  </r>
  <r>
    <x v="10"/>
    <n v="2017"/>
    <n v="3102.15"/>
    <n v="5612.01"/>
    <x v="3"/>
    <n v="-2509.86"/>
  </r>
  <r>
    <x v="10"/>
    <n v="2017"/>
    <n v="1930.16"/>
    <n v="6164.59"/>
    <x v="3"/>
    <n v="-4234.43"/>
  </r>
  <r>
    <x v="11"/>
    <n v="2018"/>
    <n v="2664.73"/>
    <n v="6825.03"/>
    <x v="0"/>
    <n v="-4160.2999999999993"/>
  </r>
  <r>
    <x v="3"/>
    <n v="2018"/>
    <n v="7471.47"/>
    <n v="1857.08"/>
    <x v="3"/>
    <n v="5614.39"/>
  </r>
  <r>
    <x v="2"/>
    <n v="2018"/>
    <n v="1731.99"/>
    <n v="6301.05"/>
    <x v="2"/>
    <n v="-4569.0600000000004"/>
  </r>
  <r>
    <x v="2"/>
    <n v="2018"/>
    <n v="3793.51"/>
    <n v="6790.08"/>
    <x v="2"/>
    <n v="-2996.5699999999997"/>
  </r>
  <r>
    <x v="5"/>
    <n v="2018"/>
    <n v="5900.27"/>
    <n v="1340.47"/>
    <x v="5"/>
    <n v="4559.8"/>
  </r>
  <r>
    <x v="1"/>
    <n v="2018"/>
    <n v="3092.72"/>
    <n v="464.49"/>
    <x v="1"/>
    <n v="2628.2299999999996"/>
  </r>
  <r>
    <x v="3"/>
    <n v="2018"/>
    <n v="7604.63"/>
    <n v="918.62"/>
    <x v="3"/>
    <n v="6686.01"/>
  </r>
  <r>
    <x v="7"/>
    <n v="2018"/>
    <n v="1556.43"/>
    <n v="1907.8"/>
    <x v="3"/>
    <n v="-351.36999999999989"/>
  </r>
  <r>
    <x v="10"/>
    <n v="2018"/>
    <n v="3609.68"/>
    <n v="3208.26"/>
    <x v="3"/>
    <n v="401.41999999999962"/>
  </r>
  <r>
    <x v="2"/>
    <n v="2018"/>
    <n v="1003.07"/>
    <n v="6122.41"/>
    <x v="2"/>
    <n v="-5119.34"/>
  </r>
  <r>
    <x v="7"/>
    <n v="2019"/>
    <n v="7771.03"/>
    <n v="5422.78"/>
    <x v="3"/>
    <n v="2348.25"/>
  </r>
  <r>
    <x v="8"/>
    <n v="2019"/>
    <n v="1361.28"/>
    <n v="701.9"/>
    <x v="2"/>
    <n v="659.38"/>
  </r>
  <r>
    <x v="9"/>
    <n v="2019"/>
    <n v="2409.8000000000002"/>
    <n v="2205.94"/>
    <x v="0"/>
    <n v="203.86000000000013"/>
  </r>
  <r>
    <x v="2"/>
    <n v="2019"/>
    <n v="6479.72"/>
    <n v="3571.35"/>
    <x v="2"/>
    <n v="2908.3700000000003"/>
  </r>
  <r>
    <x v="1"/>
    <n v="2019"/>
    <n v="3965.04"/>
    <n v="619.14"/>
    <x v="1"/>
    <n v="3345.9"/>
  </r>
  <r>
    <x v="10"/>
    <n v="2019"/>
    <n v="7490.89"/>
    <n v="1505.39"/>
    <x v="3"/>
    <n v="5985.5"/>
  </r>
  <r>
    <x v="7"/>
    <n v="2019"/>
    <n v="4854.41"/>
    <n v="876.51"/>
    <x v="3"/>
    <n v="3977.8999999999996"/>
  </r>
  <r>
    <x v="5"/>
    <n v="2019"/>
    <n v="774.12"/>
    <n v="6344.63"/>
    <x v="5"/>
    <n v="-5570.51"/>
  </r>
  <r>
    <x v="10"/>
    <n v="2020"/>
    <n v="5514.82"/>
    <n v="6551.39"/>
    <x v="3"/>
    <n v="-1036.5700000000006"/>
  </r>
  <r>
    <x v="1"/>
    <n v="2020"/>
    <n v="6107.07"/>
    <n v="5488.08"/>
    <x v="1"/>
    <n v="618.98999999999978"/>
  </r>
  <r>
    <x v="7"/>
    <n v="2020"/>
    <n v="7298.54"/>
    <n v="6477.6"/>
    <x v="3"/>
    <n v="820.9399999999996"/>
  </r>
  <r>
    <x v="0"/>
    <n v="2020"/>
    <n v="4294.17"/>
    <n v="4145.7700000000004"/>
    <x v="0"/>
    <n v="148.39999999999964"/>
  </r>
  <r>
    <x v="9"/>
    <n v="2020"/>
    <n v="4738.5"/>
    <n v="1090.1500000000001"/>
    <x v="0"/>
    <n v="3648.35"/>
  </r>
  <r>
    <x v="5"/>
    <n v="2020"/>
    <n v="7418.75"/>
    <n v="5062.74"/>
    <x v="5"/>
    <n v="2356.0100000000002"/>
  </r>
  <r>
    <x v="6"/>
    <n v="2020"/>
    <n v="3680.98"/>
    <n v="5079.8"/>
    <x v="2"/>
    <n v="-1398.8200000000002"/>
  </r>
  <r>
    <x v="3"/>
    <n v="2020"/>
    <n v="1864.46"/>
    <n v="6399.61"/>
    <x v="3"/>
    <n v="-4535.1499999999996"/>
  </r>
  <r>
    <x v="4"/>
    <n v="2020"/>
    <n v="3565.51"/>
    <n v="3649.03"/>
    <x v="4"/>
    <n v="-83.519999999999982"/>
  </r>
  <r>
    <x v="7"/>
    <n v="2021"/>
    <n v="2927.59"/>
    <n v="844.51"/>
    <x v="3"/>
    <n v="2083.08"/>
  </r>
  <r>
    <x v="6"/>
    <n v="2021"/>
    <n v="2219.39"/>
    <n v="1997.5"/>
    <x v="2"/>
    <n v="221.88999999999987"/>
  </r>
  <r>
    <x v="0"/>
    <n v="2021"/>
    <n v="3217.95"/>
    <n v="4889.51"/>
    <x v="0"/>
    <n v="-1671.5600000000004"/>
  </r>
  <r>
    <x v="4"/>
    <n v="2021"/>
    <n v="7976.56"/>
    <n v="2848.86"/>
    <x v="4"/>
    <n v="5127.7000000000007"/>
  </r>
  <r>
    <x v="3"/>
    <n v="2021"/>
    <n v="1671.14"/>
    <n v="6146.95"/>
    <x v="3"/>
    <n v="-4475.8099999999995"/>
  </r>
  <r>
    <x v="1"/>
    <n v="2022"/>
    <n v="6271.2"/>
    <n v="2386.36"/>
    <x v="1"/>
    <n v="3884.8399999999997"/>
  </r>
  <r>
    <x v="10"/>
    <n v="2022"/>
    <n v="7924.7"/>
    <n v="5484.69"/>
    <x v="3"/>
    <n v="2440.0100000000002"/>
  </r>
  <r>
    <x v="9"/>
    <n v="2022"/>
    <n v="4422.99"/>
    <n v="605.48"/>
    <x v="0"/>
    <n v="3817.5099999999998"/>
  </r>
  <r>
    <x v="2"/>
    <n v="2022"/>
    <n v="6079.6"/>
    <n v="3404.45"/>
    <x v="2"/>
    <n v="2675.1500000000005"/>
  </r>
  <r>
    <x v="11"/>
    <n v="2022"/>
    <n v="7075.74"/>
    <n v="3567.6"/>
    <x v="0"/>
    <n v="3508.14"/>
  </r>
  <r>
    <x v="1"/>
    <n v="2022"/>
    <n v="6659.43"/>
    <n v="2324.9699999999998"/>
    <x v="1"/>
    <n v="4334.4600000000009"/>
  </r>
  <r>
    <x v="9"/>
    <n v="2022"/>
    <n v="5804.29"/>
    <n v="608.47"/>
    <x v="0"/>
    <n v="5195.82"/>
  </r>
  <r>
    <x v="2"/>
    <n v="2022"/>
    <n v="7886.31"/>
    <n v="928.76"/>
    <x v="2"/>
    <n v="6957.55"/>
  </r>
  <r>
    <x v="2"/>
    <n v="2023"/>
    <n v="1657.72"/>
    <n v="5347.7"/>
    <x v="2"/>
    <n v="-3689.9799999999996"/>
  </r>
  <r>
    <x v="6"/>
    <n v="2023"/>
    <n v="1508.11"/>
    <n v="2535.83"/>
    <x v="2"/>
    <n v="-1027.72"/>
  </r>
  <r>
    <x v="6"/>
    <n v="2023"/>
    <n v="5611.27"/>
    <n v="6981.02"/>
    <x v="2"/>
    <n v="-1369.75"/>
  </r>
  <r>
    <x v="11"/>
    <n v="2023"/>
    <n v="3379.18"/>
    <n v="1266.22"/>
    <x v="0"/>
    <n v="2112.96"/>
  </r>
  <r>
    <x v="7"/>
    <n v="2023"/>
    <n v="3011.79"/>
    <n v="1226.23"/>
    <x v="3"/>
    <n v="1785.56"/>
  </r>
  <r>
    <x v="5"/>
    <n v="2023"/>
    <n v="2363.67"/>
    <n v="2448.39"/>
    <x v="5"/>
    <n v="-84.7199999999998"/>
  </r>
  <r>
    <x v="9"/>
    <n v="2023"/>
    <n v="3505.72"/>
    <n v="5238.55"/>
    <x v="0"/>
    <n v="-1732.83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E712D7-D86F-ED45-A78D-3E86DCD130C9}" name="PivotTable16"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I39:J58" firstHeaderRow="1" firstDataRow="1" firstDataCol="1"/>
  <pivotFields count="6">
    <pivotField axis="axisRow" showAll="0">
      <items count="13">
        <item x="5"/>
        <item x="4"/>
        <item x="8"/>
        <item x="10"/>
        <item x="9"/>
        <item x="11"/>
        <item x="7"/>
        <item x="3"/>
        <item x="2"/>
        <item x="0"/>
        <item x="1"/>
        <item x="6"/>
        <item t="default"/>
      </items>
    </pivotField>
    <pivotField showAll="0"/>
    <pivotField showAll="0"/>
    <pivotField showAll="0"/>
    <pivotField axis="axisRow" showAll="0">
      <items count="7">
        <item x="1"/>
        <item x="3"/>
        <item x="0"/>
        <item x="2"/>
        <item x="5"/>
        <item x="4"/>
        <item t="default"/>
      </items>
    </pivotField>
    <pivotField dataField="1" showAll="0"/>
  </pivotFields>
  <rowFields count="2">
    <field x="4"/>
    <field x="0"/>
  </rowFields>
  <rowItems count="19">
    <i>
      <x/>
    </i>
    <i r="1">
      <x v="10"/>
    </i>
    <i>
      <x v="1"/>
    </i>
    <i r="1">
      <x v="3"/>
    </i>
    <i r="1">
      <x v="6"/>
    </i>
    <i r="1">
      <x v="7"/>
    </i>
    <i>
      <x v="2"/>
    </i>
    <i r="1">
      <x v="4"/>
    </i>
    <i r="1">
      <x v="5"/>
    </i>
    <i r="1">
      <x v="9"/>
    </i>
    <i>
      <x v="3"/>
    </i>
    <i r="1">
      <x v="2"/>
    </i>
    <i r="1">
      <x v="8"/>
    </i>
    <i r="1">
      <x v="11"/>
    </i>
    <i>
      <x v="4"/>
    </i>
    <i r="1">
      <x/>
    </i>
    <i>
      <x v="5"/>
    </i>
    <i r="1">
      <x v="1"/>
    </i>
    <i t="grand">
      <x/>
    </i>
  </rowItems>
  <colItems count="1">
    <i/>
  </colItems>
  <dataFields count="1">
    <dataField name="Average of remaining money" fld="5" subtotal="average" baseField="0" baseItem="0"/>
  </dataFields>
  <formats count="12">
    <format dxfId="24">
      <pivotArea type="all" dataOnly="0" outline="0" fieldPosition="0"/>
    </format>
    <format dxfId="23">
      <pivotArea outline="0" collapsedLevelsAreSubtotals="1" fieldPosition="0"/>
    </format>
    <format dxfId="22">
      <pivotArea field="4" type="button" dataOnly="0" labelOnly="1" outline="0" axis="axisRow" fieldPosition="0"/>
    </format>
    <format dxfId="21">
      <pivotArea dataOnly="0" labelOnly="1" fieldPosition="0">
        <references count="1">
          <reference field="4" count="0"/>
        </references>
      </pivotArea>
    </format>
    <format dxfId="20">
      <pivotArea dataOnly="0" labelOnly="1" grandRow="1" outline="0" fieldPosition="0"/>
    </format>
    <format dxfId="19">
      <pivotArea dataOnly="0" labelOnly="1" fieldPosition="0">
        <references count="2">
          <reference field="0" count="1">
            <x v="10"/>
          </reference>
          <reference field="4" count="1" selected="0">
            <x v="0"/>
          </reference>
        </references>
      </pivotArea>
    </format>
    <format dxfId="18">
      <pivotArea dataOnly="0" labelOnly="1" fieldPosition="0">
        <references count="2">
          <reference field="0" count="3">
            <x v="3"/>
            <x v="6"/>
            <x v="7"/>
          </reference>
          <reference field="4" count="1" selected="0">
            <x v="1"/>
          </reference>
        </references>
      </pivotArea>
    </format>
    <format dxfId="17">
      <pivotArea dataOnly="0" labelOnly="1" fieldPosition="0">
        <references count="2">
          <reference field="0" count="3">
            <x v="4"/>
            <x v="5"/>
            <x v="9"/>
          </reference>
          <reference field="4" count="1" selected="0">
            <x v="2"/>
          </reference>
        </references>
      </pivotArea>
    </format>
    <format dxfId="16">
      <pivotArea dataOnly="0" labelOnly="1" fieldPosition="0">
        <references count="2">
          <reference field="0" count="3">
            <x v="2"/>
            <x v="8"/>
            <x v="11"/>
          </reference>
          <reference field="4" count="1" selected="0">
            <x v="3"/>
          </reference>
        </references>
      </pivotArea>
    </format>
    <format dxfId="15">
      <pivotArea dataOnly="0" labelOnly="1" fieldPosition="0">
        <references count="2">
          <reference field="0" count="1">
            <x v="0"/>
          </reference>
          <reference field="4" count="1" selected="0">
            <x v="4"/>
          </reference>
        </references>
      </pivotArea>
    </format>
    <format dxfId="14">
      <pivotArea dataOnly="0" labelOnly="1" fieldPosition="0">
        <references count="2">
          <reference field="0" count="1">
            <x v="1"/>
          </reference>
          <reference field="4" count="1" selected="0">
            <x v="5"/>
          </reference>
        </references>
      </pivotArea>
    </format>
    <format dxfId="13">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53655E-ADF8-6D4A-B9C2-29F0F7D2D9D2}" name="PivotTable7"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4:K11" firstHeaderRow="0" firstDataRow="1" firstDataCol="1"/>
  <pivotFields count="6">
    <pivotField showAll="0"/>
    <pivotField showAll="0"/>
    <pivotField dataField="1" showAll="0"/>
    <pivotField dataField="1" showAll="0"/>
    <pivotField axis="axisRow" showAll="0">
      <items count="7">
        <item x="1"/>
        <item x="3"/>
        <item x="0"/>
        <item x="2"/>
        <item x="5"/>
        <item x="4"/>
        <item t="default"/>
      </items>
    </pivotField>
    <pivotField showAll="0"/>
  </pivotFields>
  <rowFields count="1">
    <field x="4"/>
  </rowFields>
  <rowItems count="7">
    <i>
      <x/>
    </i>
    <i>
      <x v="1"/>
    </i>
    <i>
      <x v="2"/>
    </i>
    <i>
      <x v="3"/>
    </i>
    <i>
      <x v="4"/>
    </i>
    <i>
      <x v="5"/>
    </i>
    <i t="grand">
      <x/>
    </i>
  </rowItems>
  <colFields count="1">
    <field x="-2"/>
  </colFields>
  <colItems count="2">
    <i>
      <x/>
    </i>
    <i i="1">
      <x v="1"/>
    </i>
  </colItems>
  <dataFields count="2">
    <dataField name="Average of Cost_of_Living" fld="3" subtotal="average" baseField="0" baseItem="0"/>
    <dataField name="Average of Average_Monthly_Income" fld="2" subtotal="average" baseField="0" baseItem="0"/>
  </dataFields>
  <formats count="14">
    <format dxfId="63">
      <pivotArea field="4" type="button" dataOnly="0" labelOnly="1" outline="0" axis="axisRow" fieldPosition="0"/>
    </format>
    <format dxfId="62">
      <pivotArea dataOnly="0" labelOnly="1" outline="0" fieldPosition="0">
        <references count="1">
          <reference field="4294967294" count="2">
            <x v="0"/>
            <x v="1"/>
          </reference>
        </references>
      </pivotArea>
    </format>
    <format dxfId="61">
      <pivotArea field="4" type="button" dataOnly="0" labelOnly="1" outline="0" axis="axisRow" fieldPosition="0"/>
    </format>
    <format dxfId="60">
      <pivotArea dataOnly="0" labelOnly="1" outline="0" fieldPosition="0">
        <references count="1">
          <reference field="4294967294" count="2">
            <x v="0"/>
            <x v="1"/>
          </reference>
        </references>
      </pivotArea>
    </format>
    <format dxfId="59">
      <pivotArea field="4" type="button" dataOnly="0" labelOnly="1" outline="0" axis="axisRow" fieldPosition="0"/>
    </format>
    <format dxfId="58">
      <pivotArea dataOnly="0" labelOnly="1" outline="0" fieldPosition="0">
        <references count="1">
          <reference field="4294967294" count="2">
            <x v="0"/>
            <x v="1"/>
          </reference>
        </references>
      </pivotArea>
    </format>
    <format dxfId="57">
      <pivotArea field="4" type="button" dataOnly="0" labelOnly="1" outline="0" axis="axisRow" fieldPosition="0"/>
    </format>
    <format dxfId="56">
      <pivotArea dataOnly="0" labelOnly="1" outline="0" fieldPosition="0">
        <references count="1">
          <reference field="4294967294" count="2">
            <x v="0"/>
            <x v="1"/>
          </reference>
        </references>
      </pivotArea>
    </format>
    <format dxfId="40">
      <pivotArea type="all" dataOnly="0" outline="0" fieldPosition="0"/>
    </format>
    <format dxfId="39">
      <pivotArea outline="0" collapsedLevelsAreSubtotals="1" fieldPosition="0"/>
    </format>
    <format dxfId="38">
      <pivotArea field="4" type="button" dataOnly="0" labelOnly="1" outline="0" axis="axisRow" fieldPosition="0"/>
    </format>
    <format dxfId="37">
      <pivotArea dataOnly="0" labelOnly="1" fieldPosition="0">
        <references count="1">
          <reference field="4" count="0"/>
        </references>
      </pivotArea>
    </format>
    <format dxfId="36">
      <pivotArea dataOnly="0" labelOnly="1" grandRow="1" outline="0" fieldPosition="0"/>
    </format>
    <format dxfId="35">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1"/>
          </reference>
        </references>
      </pivotArea>
    </chartFormat>
    <chartFormat chart="0" format="6"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1"/>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FC6BE7-F474-004D-B725-CB1F39A40492}" name="PivotTable1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9:E16" firstHeaderRow="0" firstDataRow="1" firstDataCol="1"/>
  <pivotFields count="6">
    <pivotField showAll="0"/>
    <pivotField showAll="0"/>
    <pivotField dataField="1" showAll="0"/>
    <pivotField dataField="1" showAll="0"/>
    <pivotField axis="axisRow" showAll="0">
      <items count="7">
        <item x="1"/>
        <item x="3"/>
        <item x="0"/>
        <item x="2"/>
        <item x="5"/>
        <item x="4"/>
        <item t="default"/>
      </items>
    </pivotField>
    <pivotField showAll="0"/>
  </pivotFields>
  <rowFields count="1">
    <field x="4"/>
  </rowFields>
  <rowItems count="7">
    <i>
      <x/>
    </i>
    <i>
      <x v="1"/>
    </i>
    <i>
      <x v="2"/>
    </i>
    <i>
      <x v="3"/>
    </i>
    <i>
      <x v="4"/>
    </i>
    <i>
      <x v="5"/>
    </i>
    <i t="grand">
      <x/>
    </i>
  </rowItems>
  <colFields count="1">
    <field x="-2"/>
  </colFields>
  <colItems count="2">
    <i>
      <x/>
    </i>
    <i i="1">
      <x v="1"/>
    </i>
  </colItems>
  <dataFields count="2">
    <dataField name="Average of Cost_of_Living" fld="3" subtotal="average" baseField="0" baseItem="0"/>
    <dataField name="Average of Average_Monthly_Income" fld="2" subtotal="average" baseField="0" baseItem="0"/>
  </dataFields>
  <formats count="16">
    <format dxfId="48">
      <pivotArea field="4" type="button" dataOnly="0" labelOnly="1" outline="0" axis="axisRow" fieldPosition="0"/>
    </format>
    <format dxfId="49">
      <pivotArea dataOnly="0" labelOnly="1" outline="0" fieldPosition="0">
        <references count="1">
          <reference field="4294967294" count="2">
            <x v="0"/>
            <x v="1"/>
          </reference>
        </references>
      </pivotArea>
    </format>
    <format dxfId="50">
      <pivotArea field="4" type="button" dataOnly="0" labelOnly="1" outline="0" axis="axisRow" fieldPosition="0"/>
    </format>
    <format dxfId="51">
      <pivotArea dataOnly="0" labelOnly="1" outline="0" fieldPosition="0">
        <references count="1">
          <reference field="4294967294" count="2">
            <x v="0"/>
            <x v="1"/>
          </reference>
        </references>
      </pivotArea>
    </format>
    <format dxfId="52">
      <pivotArea field="4" type="button" dataOnly="0" labelOnly="1" outline="0" axis="axisRow" fieldPosition="0"/>
    </format>
    <format dxfId="53">
      <pivotArea dataOnly="0" labelOnly="1" outline="0" fieldPosition="0">
        <references count="1">
          <reference field="4294967294" count="2">
            <x v="0"/>
            <x v="1"/>
          </reference>
        </references>
      </pivotArea>
    </format>
    <format dxfId="54">
      <pivotArea field="4" type="button" dataOnly="0" labelOnly="1" outline="0" axis="axisRow" fieldPosition="0"/>
    </format>
    <format dxfId="55">
      <pivotArea dataOnly="0" labelOnly="1" outline="0" fieldPosition="0">
        <references count="1">
          <reference field="4294967294" count="2">
            <x v="0"/>
            <x v="1"/>
          </reference>
        </references>
      </pivotArea>
    </format>
    <format dxfId="47">
      <pivotArea outline="0" collapsedLevelsAreSubtotals="1" fieldPosition="0"/>
    </format>
    <format dxfId="46">
      <pivotArea dataOnly="0" labelOnly="1" fieldPosition="0">
        <references count="1">
          <reference field="4" count="0"/>
        </references>
      </pivotArea>
    </format>
    <format dxfId="45">
      <pivotArea dataOnly="0" labelOnly="1" grandRow="1" outline="0" fieldPosition="0"/>
    </format>
    <format dxfId="44">
      <pivotArea field="4" type="button" dataOnly="0" labelOnly="1" outline="0" axis="axisRow" fieldPosition="0"/>
    </format>
    <format dxfId="43">
      <pivotArea dataOnly="0" labelOnly="1" outline="0" fieldPosition="0">
        <references count="1">
          <reference field="4294967294" count="2">
            <x v="0"/>
            <x v="1"/>
          </reference>
        </references>
      </pivotArea>
    </format>
    <format dxfId="27">
      <pivotArea outline="0" collapsedLevelsAreSubtotals="1" fieldPosition="0"/>
    </format>
    <format dxfId="26">
      <pivotArea dataOnly="0" labelOnly="1" fieldPosition="0">
        <references count="1">
          <reference field="4" count="0"/>
        </references>
      </pivotArea>
    </format>
    <format dxfId="25">
      <pivotArea dataOnly="0" labelOnly="1" grandRow="1" outline="0" fieldPosition="0"/>
    </format>
  </formats>
  <chartFormats count="4">
    <chartFormat chart="0" format="0" series="1">
      <pivotArea type="data" outline="0" fieldPosition="0">
        <references count="1">
          <reference field="4294967294" count="1" selected="0">
            <x v="1"/>
          </reference>
        </references>
      </pivotArea>
    </chartFormat>
    <chartFormat chart="0" format="6"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1"/>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8DA0C7-F057-E841-8AA1-5AF7D1FA143D}" name="Table1" displayName="Table1" ref="A1:F200" totalsRowShown="0">
  <autoFilter ref="A1:F200" xr:uid="{F88DA0C7-F057-E841-8AA1-5AF7D1FA143D}"/>
  <sortState xmlns:xlrd2="http://schemas.microsoft.com/office/spreadsheetml/2017/richdata2" ref="A2:E200">
    <sortCondition ref="B1:B200"/>
  </sortState>
  <tableColumns count="6">
    <tableColumn id="1" xr3:uid="{A9CCEEA0-13A5-B641-B3F4-B28EE0E238D9}" name="Country" dataDxfId="42"/>
    <tableColumn id="2" xr3:uid="{FBF4C7FA-30B8-1440-8490-CDA24D525B18}" name="Year"/>
    <tableColumn id="3" xr3:uid="{D7271D79-91C1-8F47-93E3-CA22DCFD6270}" name="Average_Monthly_Income"/>
    <tableColumn id="4" xr3:uid="{C8D41EB4-3F9D-094A-9E5F-6284D2C85964}" name="Cost_of_Living"/>
    <tableColumn id="5" xr3:uid="{BD8674A4-82CD-1A42-95E0-50D3F8F36626}" name="Region" dataDxfId="41"/>
    <tableColumn id="6" xr3:uid="{3F21C237-3FEF-AD41-9A71-519C49EF1C53}" name="remaining money" dataDxfId="28">
      <calculatedColumnFormula>Table1[[#This Row],[Average_Monthly_Income]]-Table1[[#This Row],[Cost_of_Living]]</calculatedColumnFormula>
    </tableColumn>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93A833A-2305-3043-8BC0-6D9B1757B30E}" name="Table5" displayName="Table5" ref="I30:J36" totalsRowShown="0" headerRowDxfId="29" headerRowBorderDxfId="33" tableBorderDxfId="34" totalsRowBorderDxfId="32">
  <autoFilter ref="I30:J36" xr:uid="{293A833A-2305-3043-8BC0-6D9B1757B30E}"/>
  <tableColumns count="2">
    <tableColumn id="1" xr3:uid="{4D1CC176-CD4E-3F45-9C40-D86E97D02A8A}" name="Country" dataDxfId="31"/>
    <tableColumn id="2" xr3:uid="{357D6477-925F-634C-8A9E-53D41A5BD100}" name="Times" dataDxfId="3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B085B-3A2F-48B8-98A7-3DB0C05C4D54}">
  <dimension ref="A1:N200"/>
  <sheetViews>
    <sheetView tabSelected="1" topLeftCell="A2" zoomScale="91" zoomScaleNormal="81" workbookViewId="0">
      <selection activeCell="J39" sqref="J39"/>
    </sheetView>
  </sheetViews>
  <sheetFormatPr baseColWidth="10" defaultColWidth="8.83203125" defaultRowHeight="15" x14ac:dyDescent="0.2"/>
  <cols>
    <col min="1" max="1" width="12.6640625" customWidth="1"/>
    <col min="2" max="2" width="6.5" customWidth="1"/>
    <col min="3" max="3" width="23.5" bestFit="1" customWidth="1"/>
    <col min="4" max="4" width="14.33203125" customWidth="1"/>
    <col min="5" max="5" width="13.83203125" bestFit="1" customWidth="1"/>
    <col min="6" max="6" width="13.83203125" customWidth="1"/>
    <col min="8" max="8" width="12.1640625" bestFit="1" customWidth="1"/>
    <col min="9" max="9" width="14.1640625" bestFit="1" customWidth="1"/>
    <col min="10" max="10" width="23.33203125" bestFit="1" customWidth="1"/>
    <col min="11" max="11" width="20.5" bestFit="1" customWidth="1"/>
    <col min="12" max="12" width="26.6640625" bestFit="1" customWidth="1"/>
    <col min="13" max="19" width="7.1640625" bestFit="1" customWidth="1"/>
    <col min="20" max="38" width="8.1640625" bestFit="1" customWidth="1"/>
    <col min="39" max="39" width="7.1640625" bestFit="1" customWidth="1"/>
    <col min="40" max="43" width="8.1640625" bestFit="1" customWidth="1"/>
    <col min="44" max="44" width="7.1640625" bestFit="1" customWidth="1"/>
    <col min="45" max="50" width="8.1640625" bestFit="1" customWidth="1"/>
    <col min="51" max="51" width="7.1640625" bestFit="1" customWidth="1"/>
    <col min="52" max="55" width="8.1640625" bestFit="1" customWidth="1"/>
    <col min="56" max="56" width="7.1640625" bestFit="1" customWidth="1"/>
    <col min="57" max="59" width="8.1640625" bestFit="1" customWidth="1"/>
    <col min="60" max="60" width="7.1640625" bestFit="1" customWidth="1"/>
    <col min="61" max="96" width="8.1640625" bestFit="1" customWidth="1"/>
    <col min="97" max="97" width="7.1640625" bestFit="1" customWidth="1"/>
    <col min="98" max="98" width="8.1640625" bestFit="1" customWidth="1"/>
    <col min="99" max="99" width="7.1640625" bestFit="1" customWidth="1"/>
    <col min="100" max="101" width="8.1640625" bestFit="1" customWidth="1"/>
    <col min="102" max="102" width="7.1640625" bestFit="1" customWidth="1"/>
    <col min="103" max="103" width="8.1640625" bestFit="1" customWidth="1"/>
    <col min="104" max="104" width="7.1640625" bestFit="1" customWidth="1"/>
    <col min="105" max="107" width="8.1640625" bestFit="1" customWidth="1"/>
    <col min="108" max="108" width="7.1640625" bestFit="1" customWidth="1"/>
    <col min="109" max="120" width="8.1640625" bestFit="1" customWidth="1"/>
    <col min="121" max="121" width="7.1640625" bestFit="1" customWidth="1"/>
    <col min="122" max="122" width="8.1640625" bestFit="1" customWidth="1"/>
    <col min="123" max="123" width="7.1640625" bestFit="1" customWidth="1"/>
    <col min="124" max="124" width="8.1640625" bestFit="1" customWidth="1"/>
    <col min="125" max="125" width="7.1640625" bestFit="1" customWidth="1"/>
    <col min="126" max="142" width="8.1640625" bestFit="1" customWidth="1"/>
    <col min="143" max="143" width="5.1640625" bestFit="1" customWidth="1"/>
    <col min="144" max="155" width="8.1640625" bestFit="1" customWidth="1"/>
    <col min="156" max="157" width="7.1640625" bestFit="1" customWidth="1"/>
    <col min="158" max="160" width="8.1640625" bestFit="1" customWidth="1"/>
    <col min="161" max="161" width="7.1640625" bestFit="1" customWidth="1"/>
    <col min="162" max="164" width="8.1640625" bestFit="1" customWidth="1"/>
    <col min="165" max="165" width="7.1640625" bestFit="1" customWidth="1"/>
    <col min="166" max="166" width="8.1640625" bestFit="1" customWidth="1"/>
    <col min="167" max="167" width="7.1640625" bestFit="1" customWidth="1"/>
    <col min="168" max="169" width="8.1640625" bestFit="1" customWidth="1"/>
    <col min="170" max="170" width="7.1640625" bestFit="1" customWidth="1"/>
    <col min="171" max="177" width="8.1640625" bestFit="1" customWidth="1"/>
    <col min="178" max="178" width="7.1640625" bestFit="1" customWidth="1"/>
    <col min="179" max="181" width="8.1640625" bestFit="1" customWidth="1"/>
    <col min="182" max="182" width="5.1640625" bestFit="1" customWidth="1"/>
    <col min="183" max="201" width="8.1640625" bestFit="1" customWidth="1"/>
    <col min="202" max="202" width="7.1640625" bestFit="1" customWidth="1"/>
    <col min="203" max="204" width="8.1640625" bestFit="1" customWidth="1"/>
    <col min="205" max="205" width="7.1640625" bestFit="1" customWidth="1"/>
    <col min="206" max="206" width="8.1640625" bestFit="1" customWidth="1"/>
    <col min="207" max="207" width="26.83203125" bestFit="1" customWidth="1"/>
    <col min="208" max="209" width="7.1640625" bestFit="1" customWidth="1"/>
    <col min="210" max="210" width="6.1640625" bestFit="1" customWidth="1"/>
    <col min="211" max="217" width="7.1640625" bestFit="1" customWidth="1"/>
    <col min="218" max="236" width="8.1640625" bestFit="1" customWidth="1"/>
    <col min="237" max="237" width="7.1640625" bestFit="1" customWidth="1"/>
    <col min="238" max="241" width="8.1640625" bestFit="1" customWidth="1"/>
    <col min="242" max="242" width="7.1640625" bestFit="1" customWidth="1"/>
    <col min="243" max="248" width="8.1640625" bestFit="1" customWidth="1"/>
    <col min="249" max="249" width="7.1640625" bestFit="1" customWidth="1"/>
    <col min="250" max="253" width="8.1640625" bestFit="1" customWidth="1"/>
    <col min="254" max="254" width="7.1640625" bestFit="1" customWidth="1"/>
    <col min="255" max="257" width="8.1640625" bestFit="1" customWidth="1"/>
    <col min="258" max="258" width="7.1640625" bestFit="1" customWidth="1"/>
    <col min="259" max="294" width="8.1640625" bestFit="1" customWidth="1"/>
    <col min="295" max="295" width="7.1640625" bestFit="1" customWidth="1"/>
    <col min="296" max="296" width="8.1640625" bestFit="1" customWidth="1"/>
    <col min="297" max="297" width="7.1640625" bestFit="1" customWidth="1"/>
    <col min="298" max="299" width="8.1640625" bestFit="1" customWidth="1"/>
    <col min="300" max="300" width="7.1640625" bestFit="1" customWidth="1"/>
    <col min="301" max="301" width="8.1640625" bestFit="1" customWidth="1"/>
    <col min="302" max="302" width="7.1640625" bestFit="1" customWidth="1"/>
    <col min="303" max="305" width="8.1640625" bestFit="1" customWidth="1"/>
    <col min="306" max="306" width="7.1640625" bestFit="1" customWidth="1"/>
    <col min="307" max="318" width="8.1640625" bestFit="1" customWidth="1"/>
    <col min="319" max="319" width="7.1640625" bestFit="1" customWidth="1"/>
    <col min="320" max="320" width="8.1640625" bestFit="1" customWidth="1"/>
    <col min="321" max="321" width="7.1640625" bestFit="1" customWidth="1"/>
    <col min="322" max="322" width="8.1640625" bestFit="1" customWidth="1"/>
    <col min="323" max="323" width="7.1640625" bestFit="1" customWidth="1"/>
    <col min="324" max="340" width="8.1640625" bestFit="1" customWidth="1"/>
    <col min="341" max="341" width="5.1640625" bestFit="1" customWidth="1"/>
    <col min="342" max="353" width="8.1640625" bestFit="1" customWidth="1"/>
    <col min="354" max="355" width="7.1640625" bestFit="1" customWidth="1"/>
    <col min="356" max="358" width="8.1640625" bestFit="1" customWidth="1"/>
    <col min="359" max="359" width="7.1640625" bestFit="1" customWidth="1"/>
    <col min="360" max="362" width="8.1640625" bestFit="1" customWidth="1"/>
    <col min="363" max="363" width="7.1640625" bestFit="1" customWidth="1"/>
    <col min="364" max="364" width="8.1640625" bestFit="1" customWidth="1"/>
    <col min="365" max="365" width="7.1640625" bestFit="1" customWidth="1"/>
    <col min="366" max="367" width="8.1640625" bestFit="1" customWidth="1"/>
    <col min="368" max="368" width="7.1640625" bestFit="1" customWidth="1"/>
    <col min="369" max="375" width="8.1640625" bestFit="1" customWidth="1"/>
    <col min="376" max="376" width="7.1640625" bestFit="1" customWidth="1"/>
    <col min="377" max="379" width="8.1640625" bestFit="1" customWidth="1"/>
    <col min="380" max="380" width="5.1640625" bestFit="1" customWidth="1"/>
    <col min="381" max="399" width="8.1640625" bestFit="1" customWidth="1"/>
    <col min="400" max="400" width="7.1640625" bestFit="1" customWidth="1"/>
    <col min="401" max="402" width="8.1640625" bestFit="1" customWidth="1"/>
    <col min="403" max="403" width="7.1640625" bestFit="1" customWidth="1"/>
    <col min="404" max="404" width="8.1640625" bestFit="1" customWidth="1"/>
    <col min="405" max="405" width="26.6640625" bestFit="1" customWidth="1"/>
    <col min="406" max="407" width="7.1640625" bestFit="1" customWidth="1"/>
    <col min="408" max="408" width="6.1640625" bestFit="1" customWidth="1"/>
    <col min="409" max="415" width="7.1640625" bestFit="1" customWidth="1"/>
    <col min="416" max="434" width="8.1640625" bestFit="1" customWidth="1"/>
    <col min="435" max="435" width="7.1640625" bestFit="1" customWidth="1"/>
    <col min="436" max="439" width="8.1640625" bestFit="1" customWidth="1"/>
    <col min="440" max="440" width="7.1640625" bestFit="1" customWidth="1"/>
    <col min="441" max="446" width="8.1640625" bestFit="1" customWidth="1"/>
    <col min="447" max="447" width="7.1640625" bestFit="1" customWidth="1"/>
    <col min="448" max="451" width="8.1640625" bestFit="1" customWidth="1"/>
    <col min="452" max="452" width="7.1640625" bestFit="1" customWidth="1"/>
    <col min="453" max="455" width="8.1640625" bestFit="1" customWidth="1"/>
    <col min="456" max="456" width="7.1640625" bestFit="1" customWidth="1"/>
    <col min="457" max="492" width="8.1640625" bestFit="1" customWidth="1"/>
    <col min="493" max="493" width="7.1640625" bestFit="1" customWidth="1"/>
    <col min="494" max="494" width="8.1640625" bestFit="1" customWidth="1"/>
    <col min="495" max="495" width="7.1640625" bestFit="1" customWidth="1"/>
    <col min="496" max="497" width="8.1640625" bestFit="1" customWidth="1"/>
    <col min="498" max="498" width="7.1640625" bestFit="1" customWidth="1"/>
    <col min="499" max="499" width="8.1640625" bestFit="1" customWidth="1"/>
    <col min="500" max="500" width="7.1640625" bestFit="1" customWidth="1"/>
    <col min="501" max="503" width="8.1640625" bestFit="1" customWidth="1"/>
    <col min="504" max="504" width="7.1640625" bestFit="1" customWidth="1"/>
    <col min="505" max="516" width="8.1640625" bestFit="1" customWidth="1"/>
    <col min="517" max="517" width="7.1640625" bestFit="1" customWidth="1"/>
    <col min="518" max="518" width="8.1640625" bestFit="1" customWidth="1"/>
    <col min="519" max="519" width="7.1640625" bestFit="1" customWidth="1"/>
    <col min="520" max="520" width="8.1640625" bestFit="1" customWidth="1"/>
    <col min="521" max="521" width="7.1640625" bestFit="1" customWidth="1"/>
    <col min="522" max="538" width="8.1640625" bestFit="1" customWidth="1"/>
    <col min="539" max="539" width="5.1640625" bestFit="1" customWidth="1"/>
    <col min="540" max="551" width="8.1640625" bestFit="1" customWidth="1"/>
    <col min="552" max="553" width="7.1640625" bestFit="1" customWidth="1"/>
    <col min="554" max="556" width="8.1640625" bestFit="1" customWidth="1"/>
    <col min="557" max="557" width="7.1640625" bestFit="1" customWidth="1"/>
    <col min="558" max="560" width="8.1640625" bestFit="1" customWidth="1"/>
    <col min="561" max="561" width="7.1640625" bestFit="1" customWidth="1"/>
    <col min="562" max="562" width="8.1640625" bestFit="1" customWidth="1"/>
    <col min="563" max="563" width="7.1640625" bestFit="1" customWidth="1"/>
    <col min="564" max="565" width="8.1640625" bestFit="1" customWidth="1"/>
    <col min="566" max="566" width="7.1640625" bestFit="1" customWidth="1"/>
    <col min="567" max="573" width="8.1640625" bestFit="1" customWidth="1"/>
    <col min="574" max="574" width="7.1640625" bestFit="1" customWidth="1"/>
    <col min="575" max="577" width="8.1640625" bestFit="1" customWidth="1"/>
    <col min="578" max="578" width="5.1640625" bestFit="1" customWidth="1"/>
    <col min="579" max="597" width="8.1640625" bestFit="1" customWidth="1"/>
    <col min="598" max="598" width="7.1640625" bestFit="1" customWidth="1"/>
    <col min="599" max="600" width="8.1640625" bestFit="1" customWidth="1"/>
    <col min="601" max="601" width="7.1640625" bestFit="1" customWidth="1"/>
    <col min="602" max="602" width="8.1640625" bestFit="1" customWidth="1"/>
    <col min="603" max="603" width="32.83203125" bestFit="1" customWidth="1"/>
    <col min="604" max="604" width="30.83203125" bestFit="1" customWidth="1"/>
    <col min="605" max="605" width="30.6640625" bestFit="1" customWidth="1"/>
  </cols>
  <sheetData>
    <row r="1" spans="1:11" ht="16" thickBot="1" x14ac:dyDescent="0.25">
      <c r="A1" t="s">
        <v>0</v>
      </c>
      <c r="B1" t="s">
        <v>1</v>
      </c>
      <c r="C1" t="s">
        <v>2</v>
      </c>
      <c r="D1" t="s">
        <v>3</v>
      </c>
      <c r="E1" t="s">
        <v>4</v>
      </c>
      <c r="F1" t="s">
        <v>32</v>
      </c>
    </row>
    <row r="2" spans="1:11" x14ac:dyDescent="0.2">
      <c r="A2" s="37" t="s">
        <v>9</v>
      </c>
      <c r="B2" s="24">
        <v>2000</v>
      </c>
      <c r="C2" s="24">
        <v>4787.1000000000004</v>
      </c>
      <c r="D2" s="24">
        <v>4940.05</v>
      </c>
      <c r="E2" s="38" t="s">
        <v>10</v>
      </c>
      <c r="F2" s="16">
        <f>Table1[[#This Row],[Average_Monthly_Income]]-Table1[[#This Row],[Cost_of_Living]]</f>
        <v>-152.94999999999982</v>
      </c>
      <c r="G2" s="4"/>
      <c r="I2" s="2"/>
      <c r="J2" s="2"/>
    </row>
    <row r="3" spans="1:11" ht="16" thickBot="1" x14ac:dyDescent="0.25">
      <c r="A3" s="39" t="s">
        <v>11</v>
      </c>
      <c r="B3" s="4">
        <v>2000</v>
      </c>
      <c r="C3" s="4">
        <v>4859.29</v>
      </c>
      <c r="D3" s="4">
        <v>6794.59</v>
      </c>
      <c r="E3" s="16" t="s">
        <v>12</v>
      </c>
      <c r="F3" s="16">
        <f>Table1[[#This Row],[Average_Monthly_Income]]-Table1[[#This Row],[Cost_of_Living]]</f>
        <v>-1935.3000000000002</v>
      </c>
      <c r="G3" s="4"/>
    </row>
    <row r="4" spans="1:11" ht="33" thickBot="1" x14ac:dyDescent="0.25">
      <c r="A4" s="39" t="s">
        <v>20</v>
      </c>
      <c r="B4" s="4">
        <v>2000</v>
      </c>
      <c r="C4" s="4">
        <v>3588.81</v>
      </c>
      <c r="D4" s="4">
        <v>5645.74</v>
      </c>
      <c r="E4" s="16" t="s">
        <v>18</v>
      </c>
      <c r="F4" s="16">
        <f>Table1[[#This Row],[Average_Monthly_Income]]-Table1[[#This Row],[Cost_of_Living]]</f>
        <v>-2056.9299999999998</v>
      </c>
      <c r="G4" s="4"/>
      <c r="I4" s="25" t="s">
        <v>23</v>
      </c>
      <c r="J4" s="51" t="s">
        <v>26</v>
      </c>
      <c r="K4" s="20" t="s">
        <v>25</v>
      </c>
    </row>
    <row r="5" spans="1:11" x14ac:dyDescent="0.2">
      <c r="A5" s="39" t="s">
        <v>20</v>
      </c>
      <c r="B5" s="4">
        <v>2000</v>
      </c>
      <c r="C5" s="4">
        <v>3116.51</v>
      </c>
      <c r="D5" s="4">
        <v>4978.3</v>
      </c>
      <c r="E5" s="16" t="s">
        <v>18</v>
      </c>
      <c r="F5" s="16">
        <f>Table1[[#This Row],[Average_Monthly_Income]]-Table1[[#This Row],[Cost_of_Living]]</f>
        <v>-1861.79</v>
      </c>
      <c r="G5" s="4"/>
      <c r="I5" s="48" t="s">
        <v>12</v>
      </c>
      <c r="J5" s="45">
        <v>3963.1738888888885</v>
      </c>
      <c r="K5" s="17">
        <v>4695.1850000000013</v>
      </c>
    </row>
    <row r="6" spans="1:11" x14ac:dyDescent="0.2">
      <c r="A6" s="39" t="s">
        <v>16</v>
      </c>
      <c r="B6" s="4">
        <v>2000</v>
      </c>
      <c r="C6" s="4">
        <v>7537.55</v>
      </c>
      <c r="D6" s="4">
        <v>6675.7</v>
      </c>
      <c r="E6" s="16" t="s">
        <v>8</v>
      </c>
      <c r="F6" s="16">
        <f>Table1[[#This Row],[Average_Monthly_Income]]-Table1[[#This Row],[Cost_of_Living]]</f>
        <v>861.85000000000036</v>
      </c>
      <c r="G6" s="4"/>
      <c r="I6" s="49" t="s">
        <v>8</v>
      </c>
      <c r="J6" s="46">
        <v>3645.2931914893629</v>
      </c>
      <c r="K6" s="18">
        <v>4172.5140425531918</v>
      </c>
    </row>
    <row r="7" spans="1:11" x14ac:dyDescent="0.2">
      <c r="A7" s="39" t="s">
        <v>13</v>
      </c>
      <c r="B7" s="4">
        <v>2000</v>
      </c>
      <c r="C7" s="4">
        <v>1859.25</v>
      </c>
      <c r="D7" s="4">
        <v>1396.98</v>
      </c>
      <c r="E7" s="16" t="s">
        <v>14</v>
      </c>
      <c r="F7" s="16">
        <f>Table1[[#This Row],[Average_Monthly_Income]]-Table1[[#This Row],[Cost_of_Living]]</f>
        <v>462.27</v>
      </c>
      <c r="G7" s="4"/>
      <c r="I7" s="49" t="s">
        <v>10</v>
      </c>
      <c r="J7" s="46">
        <v>3554.35</v>
      </c>
      <c r="K7" s="18">
        <v>4477.2575555555559</v>
      </c>
    </row>
    <row r="8" spans="1:11" x14ac:dyDescent="0.2">
      <c r="A8" s="39" t="s">
        <v>5</v>
      </c>
      <c r="B8" s="4">
        <v>2000</v>
      </c>
      <c r="C8" s="4">
        <v>7361.34</v>
      </c>
      <c r="D8" s="4">
        <v>1716.98</v>
      </c>
      <c r="E8" s="16" t="s">
        <v>6</v>
      </c>
      <c r="F8" s="16">
        <f>Table1[[#This Row],[Average_Monthly_Income]]-Table1[[#This Row],[Cost_of_Living]]</f>
        <v>5644.3600000000006</v>
      </c>
      <c r="G8" s="4"/>
      <c r="I8" s="49" t="s">
        <v>18</v>
      </c>
      <c r="J8" s="46">
        <v>3750.0729411764701</v>
      </c>
      <c r="K8" s="18">
        <v>3774.2074509803924</v>
      </c>
    </row>
    <row r="9" spans="1:11" x14ac:dyDescent="0.2">
      <c r="A9" s="39" t="s">
        <v>21</v>
      </c>
      <c r="B9" s="4">
        <v>2000</v>
      </c>
      <c r="C9" s="4">
        <v>6316.46</v>
      </c>
      <c r="D9" s="4">
        <v>6421.6</v>
      </c>
      <c r="E9" s="16" t="s">
        <v>18</v>
      </c>
      <c r="F9" s="16">
        <f>Table1[[#This Row],[Average_Monthly_Income]]-Table1[[#This Row],[Cost_of_Living]]</f>
        <v>-105.14000000000033</v>
      </c>
      <c r="G9" s="4"/>
      <c r="I9" s="49" t="s">
        <v>6</v>
      </c>
      <c r="J9" s="46">
        <v>3913.3959090909102</v>
      </c>
      <c r="K9" s="18">
        <v>4541.9690909090914</v>
      </c>
    </row>
    <row r="10" spans="1:11" ht="16" thickBot="1" x14ac:dyDescent="0.25">
      <c r="A10" s="39" t="s">
        <v>7</v>
      </c>
      <c r="B10" s="4">
        <v>2000</v>
      </c>
      <c r="C10" s="4">
        <v>4697.3</v>
      </c>
      <c r="D10" s="4">
        <v>1268.3499999999999</v>
      </c>
      <c r="E10" s="16" t="s">
        <v>8</v>
      </c>
      <c r="F10" s="16">
        <f>Table1[[#This Row],[Average_Monthly_Income]]-Table1[[#This Row],[Cost_of_Living]]</f>
        <v>3428.9500000000003</v>
      </c>
      <c r="G10" s="4"/>
      <c r="I10" s="50" t="s">
        <v>14</v>
      </c>
      <c r="J10" s="46">
        <v>3585.0149999999994</v>
      </c>
      <c r="K10" s="18">
        <v>4389.5681250000007</v>
      </c>
    </row>
    <row r="11" spans="1:11" ht="16" thickBot="1" x14ac:dyDescent="0.25">
      <c r="A11" s="39" t="s">
        <v>16</v>
      </c>
      <c r="B11" s="4">
        <v>2001</v>
      </c>
      <c r="C11" s="4">
        <v>2318.0700000000002</v>
      </c>
      <c r="D11" s="4">
        <v>4498.04</v>
      </c>
      <c r="E11" s="16" t="s">
        <v>8</v>
      </c>
      <c r="F11" s="16">
        <f>Table1[[#This Row],[Average_Monthly_Income]]-Table1[[#This Row],[Cost_of_Living]]</f>
        <v>-2179.9699999999998</v>
      </c>
      <c r="G11" s="4"/>
      <c r="I11" s="26" t="s">
        <v>24</v>
      </c>
      <c r="J11" s="47">
        <v>3705.1272864321604</v>
      </c>
      <c r="K11" s="19">
        <v>4244.9199497487461</v>
      </c>
    </row>
    <row r="12" spans="1:11" x14ac:dyDescent="0.2">
      <c r="A12" s="39" t="s">
        <v>17</v>
      </c>
      <c r="B12" s="4">
        <v>2001</v>
      </c>
      <c r="C12" s="4">
        <v>2917.65</v>
      </c>
      <c r="D12" s="4">
        <v>4909.75</v>
      </c>
      <c r="E12" s="16" t="s">
        <v>18</v>
      </c>
      <c r="F12" s="16">
        <f>Table1[[#This Row],[Average_Monthly_Income]]-Table1[[#This Row],[Cost_of_Living]]</f>
        <v>-1992.1</v>
      </c>
      <c r="G12" s="4"/>
    </row>
    <row r="13" spans="1:11" x14ac:dyDescent="0.2">
      <c r="A13" s="39" t="s">
        <v>22</v>
      </c>
      <c r="B13" s="4">
        <v>2001</v>
      </c>
      <c r="C13" s="4">
        <v>1727.42</v>
      </c>
      <c r="D13" s="4">
        <v>3101.6</v>
      </c>
      <c r="E13" s="16" t="s">
        <v>10</v>
      </c>
      <c r="F13" s="16">
        <f>Table1[[#This Row],[Average_Monthly_Income]]-Table1[[#This Row],[Cost_of_Living]]</f>
        <v>-1374.1799999999998</v>
      </c>
      <c r="G13" s="4"/>
    </row>
    <row r="14" spans="1:11" x14ac:dyDescent="0.2">
      <c r="A14" s="39" t="s">
        <v>7</v>
      </c>
      <c r="B14" s="4">
        <v>2001</v>
      </c>
      <c r="C14" s="4">
        <v>6624.5</v>
      </c>
      <c r="D14" s="4">
        <v>3523.19</v>
      </c>
      <c r="E14" s="16" t="s">
        <v>8</v>
      </c>
      <c r="F14" s="16">
        <f>Table1[[#This Row],[Average_Monthly_Income]]-Table1[[#This Row],[Cost_of_Living]]</f>
        <v>3101.31</v>
      </c>
      <c r="G14" s="4"/>
    </row>
    <row r="15" spans="1:11" x14ac:dyDescent="0.2">
      <c r="A15" s="39" t="s">
        <v>20</v>
      </c>
      <c r="B15" s="4">
        <v>2001</v>
      </c>
      <c r="C15" s="4">
        <v>6031.26</v>
      </c>
      <c r="D15" s="4">
        <v>4747.47</v>
      </c>
      <c r="E15" s="16" t="s">
        <v>18</v>
      </c>
      <c r="F15" s="16">
        <f>Table1[[#This Row],[Average_Monthly_Income]]-Table1[[#This Row],[Cost_of_Living]]</f>
        <v>1283.79</v>
      </c>
      <c r="G15" s="4"/>
    </row>
    <row r="16" spans="1:11" x14ac:dyDescent="0.2">
      <c r="A16" s="39" t="s">
        <v>15</v>
      </c>
      <c r="B16" s="4">
        <v>2002</v>
      </c>
      <c r="C16" s="4">
        <v>4036.82</v>
      </c>
      <c r="D16" s="4">
        <v>1479.92</v>
      </c>
      <c r="E16" s="16" t="s">
        <v>8</v>
      </c>
      <c r="F16" s="16">
        <f>Table1[[#This Row],[Average_Monthly_Income]]-Table1[[#This Row],[Cost_of_Living]]</f>
        <v>2556.9</v>
      </c>
      <c r="G16" s="4"/>
    </row>
    <row r="17" spans="1:14" x14ac:dyDescent="0.2">
      <c r="A17" s="39" t="s">
        <v>22</v>
      </c>
      <c r="B17" s="4">
        <v>2002</v>
      </c>
      <c r="C17" s="4">
        <v>5981.51</v>
      </c>
      <c r="D17" s="4">
        <v>2203.5100000000002</v>
      </c>
      <c r="E17" s="16" t="s">
        <v>10</v>
      </c>
      <c r="F17" s="16">
        <f>Table1[[#This Row],[Average_Monthly_Income]]-Table1[[#This Row],[Cost_of_Living]]</f>
        <v>3778</v>
      </c>
      <c r="G17" s="4"/>
    </row>
    <row r="18" spans="1:14" x14ac:dyDescent="0.2">
      <c r="A18" s="39" t="s">
        <v>15</v>
      </c>
      <c r="B18" s="4">
        <v>2002</v>
      </c>
      <c r="C18" s="4">
        <v>5488.98</v>
      </c>
      <c r="D18" s="4">
        <v>1806.49</v>
      </c>
      <c r="E18" s="16" t="s">
        <v>8</v>
      </c>
      <c r="F18" s="16">
        <f>Table1[[#This Row],[Average_Monthly_Income]]-Table1[[#This Row],[Cost_of_Living]]</f>
        <v>3682.49</v>
      </c>
      <c r="G18" s="4"/>
    </row>
    <row r="19" spans="1:14" x14ac:dyDescent="0.2">
      <c r="A19" s="39" t="s">
        <v>17</v>
      </c>
      <c r="B19" s="4">
        <v>2002</v>
      </c>
      <c r="C19" s="4">
        <v>1544.54</v>
      </c>
      <c r="D19" s="4">
        <v>4924.7299999999996</v>
      </c>
      <c r="E19" s="16" t="s">
        <v>18</v>
      </c>
      <c r="F19" s="16">
        <f>Table1[[#This Row],[Average_Monthly_Income]]-Table1[[#This Row],[Cost_of_Living]]</f>
        <v>-3380.1899999999996</v>
      </c>
      <c r="G19" s="4"/>
    </row>
    <row r="20" spans="1:14" x14ac:dyDescent="0.2">
      <c r="A20" s="39" t="s">
        <v>15</v>
      </c>
      <c r="B20" s="4">
        <v>2002</v>
      </c>
      <c r="C20" s="4">
        <v>5150.55</v>
      </c>
      <c r="D20" s="4">
        <v>1723.46</v>
      </c>
      <c r="E20" s="16" t="s">
        <v>8</v>
      </c>
      <c r="F20" s="16">
        <f>Table1[[#This Row],[Average_Monthly_Income]]-Table1[[#This Row],[Cost_of_Living]]</f>
        <v>3427.09</v>
      </c>
      <c r="G20" s="4"/>
    </row>
    <row r="21" spans="1:14" x14ac:dyDescent="0.2">
      <c r="A21" s="39" t="s">
        <v>15</v>
      </c>
      <c r="B21" s="4">
        <v>2002</v>
      </c>
      <c r="C21" s="4">
        <v>1329.74</v>
      </c>
      <c r="D21" s="4">
        <v>4986.88</v>
      </c>
      <c r="E21" s="16" t="s">
        <v>8</v>
      </c>
      <c r="F21" s="16">
        <f>Table1[[#This Row],[Average_Monthly_Income]]-Table1[[#This Row],[Cost_of_Living]]</f>
        <v>-3657.1400000000003</v>
      </c>
      <c r="G21" s="4"/>
    </row>
    <row r="22" spans="1:14" x14ac:dyDescent="0.2">
      <c r="A22" s="39" t="s">
        <v>15</v>
      </c>
      <c r="B22" s="4">
        <v>2002</v>
      </c>
      <c r="C22" s="4">
        <v>635.83000000000004</v>
      </c>
      <c r="D22" s="4">
        <v>5683.87</v>
      </c>
      <c r="E22" s="16" t="s">
        <v>8</v>
      </c>
      <c r="F22" s="16">
        <f>Table1[[#This Row],[Average_Monthly_Income]]-Table1[[#This Row],[Cost_of_Living]]</f>
        <v>-5048.04</v>
      </c>
      <c r="G22" s="4"/>
    </row>
    <row r="23" spans="1:14" x14ac:dyDescent="0.2">
      <c r="A23" s="39" t="s">
        <v>16</v>
      </c>
      <c r="B23" s="4">
        <v>2002</v>
      </c>
      <c r="C23" s="4">
        <v>1349.29</v>
      </c>
      <c r="D23" s="4">
        <v>5777.85</v>
      </c>
      <c r="E23" s="16" t="s">
        <v>8</v>
      </c>
      <c r="F23" s="16">
        <f>Table1[[#This Row],[Average_Monthly_Income]]-Table1[[#This Row],[Cost_of_Living]]</f>
        <v>-4428.5600000000004</v>
      </c>
      <c r="G23" s="4"/>
    </row>
    <row r="24" spans="1:14" x14ac:dyDescent="0.2">
      <c r="A24" s="39" t="s">
        <v>20</v>
      </c>
      <c r="B24" s="4">
        <v>2002</v>
      </c>
      <c r="C24" s="4">
        <v>2074.29</v>
      </c>
      <c r="D24" s="4">
        <v>3294.86</v>
      </c>
      <c r="E24" s="16" t="s">
        <v>18</v>
      </c>
      <c r="F24" s="16">
        <f>Table1[[#This Row],[Average_Monthly_Income]]-Table1[[#This Row],[Cost_of_Living]]</f>
        <v>-1220.5700000000002</v>
      </c>
      <c r="G24" s="4"/>
    </row>
    <row r="25" spans="1:14" x14ac:dyDescent="0.2">
      <c r="A25" s="39" t="s">
        <v>21</v>
      </c>
      <c r="B25" s="4">
        <v>2002</v>
      </c>
      <c r="C25" s="4">
        <v>3899.67</v>
      </c>
      <c r="D25" s="4">
        <v>1790.37</v>
      </c>
      <c r="E25" s="16" t="s">
        <v>18</v>
      </c>
      <c r="F25" s="16">
        <f>Table1[[#This Row],[Average_Monthly_Income]]-Table1[[#This Row],[Cost_of_Living]]</f>
        <v>2109.3000000000002</v>
      </c>
      <c r="G25" s="4"/>
    </row>
    <row r="26" spans="1:14" x14ac:dyDescent="0.2">
      <c r="A26" s="39" t="s">
        <v>5</v>
      </c>
      <c r="B26" s="4">
        <v>2003</v>
      </c>
      <c r="C26" s="4">
        <v>4675.72</v>
      </c>
      <c r="D26" s="4">
        <v>6585.71</v>
      </c>
      <c r="E26" s="16" t="s">
        <v>6</v>
      </c>
      <c r="F26" s="16">
        <f>Table1[[#This Row],[Average_Monthly_Income]]-Table1[[#This Row],[Cost_of_Living]]</f>
        <v>-1909.9899999999998</v>
      </c>
      <c r="G26" s="4"/>
    </row>
    <row r="27" spans="1:14" x14ac:dyDescent="0.2">
      <c r="A27" s="39" t="s">
        <v>11</v>
      </c>
      <c r="B27" s="4">
        <v>2003</v>
      </c>
      <c r="C27" s="4">
        <v>4307.08</v>
      </c>
      <c r="D27" s="4">
        <v>2682.83</v>
      </c>
      <c r="E27" s="16" t="s">
        <v>12</v>
      </c>
      <c r="F27" s="16">
        <f>Table1[[#This Row],[Average_Monthly_Income]]-Table1[[#This Row],[Cost_of_Living]]</f>
        <v>1624.25</v>
      </c>
      <c r="G27" s="4"/>
    </row>
    <row r="28" spans="1:14" x14ac:dyDescent="0.2">
      <c r="A28" s="39" t="s">
        <v>20</v>
      </c>
      <c r="B28" s="4">
        <v>2003</v>
      </c>
      <c r="C28" s="4">
        <v>888.68</v>
      </c>
      <c r="D28" s="4">
        <v>562.27</v>
      </c>
      <c r="E28" s="16" t="s">
        <v>18</v>
      </c>
      <c r="F28" s="16">
        <f>Table1[[#This Row],[Average_Monthly_Income]]-Table1[[#This Row],[Cost_of_Living]]</f>
        <v>326.40999999999997</v>
      </c>
      <c r="G28" s="4"/>
    </row>
    <row r="29" spans="1:14" x14ac:dyDescent="0.2">
      <c r="A29" s="39" t="s">
        <v>20</v>
      </c>
      <c r="B29" s="4">
        <v>2003</v>
      </c>
      <c r="C29" s="4">
        <v>2760.33</v>
      </c>
      <c r="D29" s="4">
        <v>5525.54</v>
      </c>
      <c r="E29" s="16" t="s">
        <v>18</v>
      </c>
      <c r="F29" s="16">
        <f>Table1[[#This Row],[Average_Monthly_Income]]-Table1[[#This Row],[Cost_of_Living]]</f>
        <v>-2765.21</v>
      </c>
      <c r="G29" s="4"/>
    </row>
    <row r="30" spans="1:14" x14ac:dyDescent="0.2">
      <c r="A30" s="39" t="s">
        <v>11</v>
      </c>
      <c r="B30" s="4">
        <v>2003</v>
      </c>
      <c r="C30" s="4">
        <v>4576.6499999999996</v>
      </c>
      <c r="D30" s="4">
        <v>614.66999999999996</v>
      </c>
      <c r="E30" s="16" t="s">
        <v>12</v>
      </c>
      <c r="F30" s="16">
        <f>Table1[[#This Row],[Average_Monthly_Income]]-Table1[[#This Row],[Cost_of_Living]]</f>
        <v>3961.9799999999996</v>
      </c>
      <c r="G30" s="4"/>
      <c r="I30" s="8" t="s">
        <v>0</v>
      </c>
      <c r="J30" s="11" t="s">
        <v>27</v>
      </c>
    </row>
    <row r="31" spans="1:14" x14ac:dyDescent="0.2">
      <c r="A31" s="39" t="s">
        <v>19</v>
      </c>
      <c r="B31" s="4">
        <v>2003</v>
      </c>
      <c r="C31" s="4">
        <v>5181.78</v>
      </c>
      <c r="D31" s="4">
        <v>4469.8900000000003</v>
      </c>
      <c r="E31" s="16" t="s">
        <v>10</v>
      </c>
      <c r="F31" s="16">
        <f>Table1[[#This Row],[Average_Monthly_Income]]-Table1[[#This Row],[Cost_of_Living]]</f>
        <v>711.88999999999942</v>
      </c>
      <c r="G31" s="4"/>
      <c r="I31" s="6" t="s">
        <v>12</v>
      </c>
      <c r="J31" s="7">
        <f>COUNTIF(Table1[Region],E16)</f>
        <v>47</v>
      </c>
      <c r="L31" s="4"/>
      <c r="M31" s="4"/>
      <c r="N31" s="4"/>
    </row>
    <row r="32" spans="1:14" x14ac:dyDescent="0.2">
      <c r="A32" s="39" t="s">
        <v>19</v>
      </c>
      <c r="B32" s="4">
        <v>2003</v>
      </c>
      <c r="C32" s="4">
        <v>7204.19</v>
      </c>
      <c r="D32" s="4">
        <v>823.78</v>
      </c>
      <c r="E32" s="16" t="s">
        <v>10</v>
      </c>
      <c r="F32" s="16">
        <f>Table1[[#This Row],[Average_Monthly_Income]]-Table1[[#This Row],[Cost_of_Living]]</f>
        <v>6380.41</v>
      </c>
      <c r="G32" s="4"/>
      <c r="I32" s="6" t="s">
        <v>8</v>
      </c>
      <c r="J32" s="7">
        <f>COUNTIF(Table1[Region],E37)</f>
        <v>45</v>
      </c>
      <c r="L32" s="5"/>
      <c r="M32" s="3"/>
      <c r="N32" s="4"/>
    </row>
    <row r="33" spans="1:14" x14ac:dyDescent="0.2">
      <c r="A33" s="39" t="s">
        <v>11</v>
      </c>
      <c r="B33" s="4">
        <v>2003</v>
      </c>
      <c r="C33" s="4">
        <v>5704.61</v>
      </c>
      <c r="D33" s="4">
        <v>4479.83</v>
      </c>
      <c r="E33" s="16" t="s">
        <v>12</v>
      </c>
      <c r="F33" s="16">
        <f>Table1[[#This Row],[Average_Monthly_Income]]-Table1[[#This Row],[Cost_of_Living]]</f>
        <v>1224.7799999999997</v>
      </c>
      <c r="G33" s="4"/>
      <c r="I33" s="6" t="s">
        <v>10</v>
      </c>
      <c r="J33" s="7">
        <f>COUNTIF(Table1[Region],E33)</f>
        <v>18</v>
      </c>
      <c r="L33" s="5"/>
      <c r="M33" s="3"/>
      <c r="N33" s="4"/>
    </row>
    <row r="34" spans="1:14" x14ac:dyDescent="0.2">
      <c r="A34" s="39" t="s">
        <v>20</v>
      </c>
      <c r="B34" s="4">
        <v>2003</v>
      </c>
      <c r="C34" s="4">
        <v>5724.88</v>
      </c>
      <c r="D34" s="4">
        <v>4600.4399999999996</v>
      </c>
      <c r="E34" s="16" t="s">
        <v>18</v>
      </c>
      <c r="F34" s="16">
        <f>Table1[[#This Row],[Average_Monthly_Income]]-Table1[[#This Row],[Cost_of_Living]]</f>
        <v>1124.4400000000005</v>
      </c>
      <c r="G34" s="4"/>
      <c r="I34" s="6" t="s">
        <v>18</v>
      </c>
      <c r="J34" s="7">
        <f>COUNTIF(Table1[Region],E32)</f>
        <v>45</v>
      </c>
      <c r="L34" s="5"/>
      <c r="M34" s="3"/>
      <c r="N34" s="4"/>
    </row>
    <row r="35" spans="1:14" x14ac:dyDescent="0.2">
      <c r="A35" s="39" t="s">
        <v>17</v>
      </c>
      <c r="B35" s="4">
        <v>2003</v>
      </c>
      <c r="C35" s="4">
        <v>1835.27</v>
      </c>
      <c r="D35" s="4">
        <v>6130.6</v>
      </c>
      <c r="E35" s="16" t="s">
        <v>18</v>
      </c>
      <c r="F35" s="16">
        <f>Table1[[#This Row],[Average_Monthly_Income]]-Table1[[#This Row],[Cost_of_Living]]</f>
        <v>-4295.33</v>
      </c>
      <c r="G35" s="4"/>
      <c r="I35" s="6" t="s">
        <v>6</v>
      </c>
      <c r="J35" s="7">
        <f>COUNTIF(Table1[Region],E42)</f>
        <v>51</v>
      </c>
      <c r="L35" s="5"/>
      <c r="M35" s="3"/>
      <c r="N35" s="4"/>
    </row>
    <row r="36" spans="1:14" x14ac:dyDescent="0.2">
      <c r="A36" s="39" t="s">
        <v>20</v>
      </c>
      <c r="B36" s="4">
        <v>2003</v>
      </c>
      <c r="C36" s="4">
        <v>7708.03</v>
      </c>
      <c r="D36" s="4">
        <v>5199.32</v>
      </c>
      <c r="E36" s="16" t="s">
        <v>18</v>
      </c>
      <c r="F36" s="16">
        <f>Table1[[#This Row],[Average_Monthly_Income]]-Table1[[#This Row],[Cost_of_Living]]</f>
        <v>2508.71</v>
      </c>
      <c r="G36" s="4"/>
      <c r="I36" s="9" t="s">
        <v>14</v>
      </c>
      <c r="J36" s="10">
        <f>COUNTIF(Table1[Region],E27)</f>
        <v>18</v>
      </c>
      <c r="L36" s="5"/>
      <c r="M36" s="3"/>
      <c r="N36" s="4"/>
    </row>
    <row r="37" spans="1:14" x14ac:dyDescent="0.2">
      <c r="A37" s="39" t="s">
        <v>9</v>
      </c>
      <c r="B37" s="4">
        <v>2004</v>
      </c>
      <c r="C37" s="4">
        <v>6991.3</v>
      </c>
      <c r="D37" s="4">
        <v>3972.36</v>
      </c>
      <c r="E37" s="16" t="s">
        <v>10</v>
      </c>
      <c r="F37" s="16">
        <f>Table1[[#This Row],[Average_Monthly_Income]]-Table1[[#This Row],[Cost_of_Living]]</f>
        <v>3018.94</v>
      </c>
      <c r="G37" s="4"/>
      <c r="L37" s="5"/>
      <c r="M37" s="3"/>
      <c r="N37" s="4"/>
    </row>
    <row r="38" spans="1:14" ht="16" thickBot="1" x14ac:dyDescent="0.25">
      <c r="A38" s="39" t="s">
        <v>9</v>
      </c>
      <c r="B38" s="4">
        <v>2004</v>
      </c>
      <c r="C38" s="4">
        <v>2599.84</v>
      </c>
      <c r="D38" s="4">
        <v>847.72</v>
      </c>
      <c r="E38" s="16" t="s">
        <v>10</v>
      </c>
      <c r="F38" s="16">
        <f>Table1[[#This Row],[Average_Monthly_Income]]-Table1[[#This Row],[Cost_of_Living]]</f>
        <v>1752.1200000000001</v>
      </c>
      <c r="G38" s="4"/>
      <c r="L38" s="4"/>
      <c r="M38" s="4"/>
      <c r="N38" s="4"/>
    </row>
    <row r="39" spans="1:14" ht="16" thickBot="1" x14ac:dyDescent="0.25">
      <c r="A39" s="39" t="s">
        <v>11</v>
      </c>
      <c r="B39" s="4">
        <v>2004</v>
      </c>
      <c r="C39" s="4">
        <v>3690.77</v>
      </c>
      <c r="D39" s="4">
        <v>4242.33</v>
      </c>
      <c r="E39" s="16" t="s">
        <v>12</v>
      </c>
      <c r="F39" s="16">
        <f>Table1[[#This Row],[Average_Monthly_Income]]-Table1[[#This Row],[Cost_of_Living]]</f>
        <v>-551.55999999999995</v>
      </c>
      <c r="G39" s="4"/>
      <c r="I39" s="53" t="s">
        <v>23</v>
      </c>
      <c r="J39" s="54" t="s">
        <v>33</v>
      </c>
    </row>
    <row r="40" spans="1:14" ht="16" thickBot="1" x14ac:dyDescent="0.25">
      <c r="A40" s="39" t="s">
        <v>17</v>
      </c>
      <c r="B40" s="4">
        <v>2004</v>
      </c>
      <c r="C40" s="4">
        <v>4108.55</v>
      </c>
      <c r="D40" s="4">
        <v>1258.57</v>
      </c>
      <c r="E40" s="16" t="s">
        <v>18</v>
      </c>
      <c r="F40" s="16">
        <f>Table1[[#This Row],[Average_Monthly_Income]]-Table1[[#This Row],[Cost_of_Living]]</f>
        <v>2849.9800000000005</v>
      </c>
      <c r="G40" s="4"/>
      <c r="I40" s="26" t="s">
        <v>12</v>
      </c>
      <c r="J40" s="27">
        <v>732.01111111111106</v>
      </c>
    </row>
    <row r="41" spans="1:14" ht="16" thickBot="1" x14ac:dyDescent="0.25">
      <c r="A41" s="39" t="s">
        <v>5</v>
      </c>
      <c r="B41" s="4">
        <v>2004</v>
      </c>
      <c r="C41" s="4">
        <v>7737.7</v>
      </c>
      <c r="D41" s="4">
        <v>4891.3</v>
      </c>
      <c r="E41" s="16" t="s">
        <v>6</v>
      </c>
      <c r="F41" s="16">
        <f>Table1[[#This Row],[Average_Monthly_Income]]-Table1[[#This Row],[Cost_of_Living]]</f>
        <v>2846.3999999999996</v>
      </c>
      <c r="G41" s="4"/>
      <c r="I41" s="55" t="s">
        <v>11</v>
      </c>
      <c r="J41" s="27">
        <v>732.01111111111106</v>
      </c>
    </row>
    <row r="42" spans="1:14" ht="16" thickBot="1" x14ac:dyDescent="0.25">
      <c r="A42" s="39" t="s">
        <v>17</v>
      </c>
      <c r="B42" s="4">
        <v>2004</v>
      </c>
      <c r="C42" s="4">
        <v>7548.74</v>
      </c>
      <c r="D42" s="4">
        <v>3578.05</v>
      </c>
      <c r="E42" s="16" t="s">
        <v>18</v>
      </c>
      <c r="F42" s="16">
        <f>Table1[[#This Row],[Average_Monthly_Income]]-Table1[[#This Row],[Cost_of_Living]]</f>
        <v>3970.6899999999996</v>
      </c>
      <c r="G42" s="4"/>
      <c r="I42" s="26" t="s">
        <v>8</v>
      </c>
      <c r="J42" s="27">
        <v>527.22085106382974</v>
      </c>
    </row>
    <row r="43" spans="1:14" ht="16" thickBot="1" x14ac:dyDescent="0.25">
      <c r="A43" s="39" t="s">
        <v>22</v>
      </c>
      <c r="B43" s="4">
        <v>2004</v>
      </c>
      <c r="C43" s="4">
        <v>751.49</v>
      </c>
      <c r="D43" s="4">
        <v>476.7</v>
      </c>
      <c r="E43" s="16" t="s">
        <v>10</v>
      </c>
      <c r="F43" s="16">
        <f>Table1[[#This Row],[Average_Monthly_Income]]-Table1[[#This Row],[Cost_of_Living]]</f>
        <v>274.79000000000002</v>
      </c>
      <c r="G43" s="4"/>
      <c r="I43" s="55" t="s">
        <v>15</v>
      </c>
      <c r="J43" s="27">
        <v>455.12562499999984</v>
      </c>
    </row>
    <row r="44" spans="1:14" ht="16" thickBot="1" x14ac:dyDescent="0.25">
      <c r="A44" s="39" t="s">
        <v>13</v>
      </c>
      <c r="B44" s="4">
        <v>2004</v>
      </c>
      <c r="C44" s="4">
        <v>5085.91</v>
      </c>
      <c r="D44" s="4">
        <v>4950.47</v>
      </c>
      <c r="E44" s="16" t="s">
        <v>14</v>
      </c>
      <c r="F44" s="16">
        <f>Table1[[#This Row],[Average_Monthly_Income]]-Table1[[#This Row],[Cost_of_Living]]</f>
        <v>135.4399999999996</v>
      </c>
      <c r="G44" s="4"/>
      <c r="I44" s="55" t="s">
        <v>7</v>
      </c>
      <c r="J44" s="27">
        <v>578.34285714285704</v>
      </c>
    </row>
    <row r="45" spans="1:14" ht="16" thickBot="1" x14ac:dyDescent="0.25">
      <c r="A45" s="39" t="s">
        <v>13</v>
      </c>
      <c r="B45" s="4">
        <v>2004</v>
      </c>
      <c r="C45" s="4">
        <v>3881.3</v>
      </c>
      <c r="D45" s="4">
        <v>2640.37</v>
      </c>
      <c r="E45" s="16" t="s">
        <v>14</v>
      </c>
      <c r="F45" s="16">
        <f>Table1[[#This Row],[Average_Monthly_Income]]-Table1[[#This Row],[Cost_of_Living]]</f>
        <v>1240.9300000000003</v>
      </c>
      <c r="G45" s="4"/>
      <c r="I45" s="55" t="s">
        <v>16</v>
      </c>
      <c r="J45" s="27">
        <v>552.97470588235296</v>
      </c>
    </row>
    <row r="46" spans="1:14" ht="16" thickBot="1" x14ac:dyDescent="0.25">
      <c r="A46" s="39" t="s">
        <v>16</v>
      </c>
      <c r="B46" s="4">
        <v>2004</v>
      </c>
      <c r="C46" s="4">
        <v>3891.63</v>
      </c>
      <c r="D46" s="4">
        <v>3688.09</v>
      </c>
      <c r="E46" s="16" t="s">
        <v>8</v>
      </c>
      <c r="F46" s="16">
        <f>Table1[[#This Row],[Average_Monthly_Income]]-Table1[[#This Row],[Cost_of_Living]]</f>
        <v>203.53999999999996</v>
      </c>
      <c r="G46" s="4"/>
      <c r="I46" s="26" t="s">
        <v>10</v>
      </c>
      <c r="J46" s="27">
        <v>922.90755555555597</v>
      </c>
    </row>
    <row r="47" spans="1:14" ht="16" thickBot="1" x14ac:dyDescent="0.25">
      <c r="A47" s="39" t="s">
        <v>5</v>
      </c>
      <c r="B47" s="4">
        <v>2004</v>
      </c>
      <c r="C47" s="4">
        <v>2184.54</v>
      </c>
      <c r="D47" s="4">
        <v>4065.4</v>
      </c>
      <c r="E47" s="16" t="s">
        <v>6</v>
      </c>
      <c r="F47" s="16">
        <f>Table1[[#This Row],[Average_Monthly_Income]]-Table1[[#This Row],[Cost_of_Living]]</f>
        <v>-1880.8600000000001</v>
      </c>
      <c r="G47" s="4"/>
      <c r="I47" s="55" t="s">
        <v>22</v>
      </c>
      <c r="J47" s="27">
        <v>1022.5757894736842</v>
      </c>
    </row>
    <row r="48" spans="1:14" ht="16" thickBot="1" x14ac:dyDescent="0.25">
      <c r="A48" s="39" t="s">
        <v>13</v>
      </c>
      <c r="B48" s="4">
        <v>2005</v>
      </c>
      <c r="C48" s="4">
        <v>6521.4</v>
      </c>
      <c r="D48" s="4">
        <v>2030.88</v>
      </c>
      <c r="E48" s="16" t="s">
        <v>14</v>
      </c>
      <c r="F48" s="16">
        <f>Table1[[#This Row],[Average_Monthly_Income]]-Table1[[#This Row],[Cost_of_Living]]</f>
        <v>4490.5199999999995</v>
      </c>
      <c r="G48" s="4"/>
      <c r="I48" s="55" t="s">
        <v>19</v>
      </c>
      <c r="J48" s="27">
        <v>1211.1608333333334</v>
      </c>
    </row>
    <row r="49" spans="1:10" ht="16" thickBot="1" x14ac:dyDescent="0.25">
      <c r="A49" s="39" t="s">
        <v>21</v>
      </c>
      <c r="B49" s="4">
        <v>2005</v>
      </c>
      <c r="C49" s="4">
        <v>3893.3</v>
      </c>
      <c r="D49" s="4">
        <v>5146.7299999999996</v>
      </c>
      <c r="E49" s="16" t="s">
        <v>18</v>
      </c>
      <c r="F49" s="16">
        <f>Table1[[#This Row],[Average_Monthly_Income]]-Table1[[#This Row],[Cost_of_Living]]</f>
        <v>-1253.4299999999994</v>
      </c>
      <c r="G49" s="4"/>
      <c r="I49" s="55" t="s">
        <v>9</v>
      </c>
      <c r="J49" s="27">
        <v>540.56928571428568</v>
      </c>
    </row>
    <row r="50" spans="1:10" ht="16" thickBot="1" x14ac:dyDescent="0.25">
      <c r="A50" s="39" t="s">
        <v>19</v>
      </c>
      <c r="B50" s="4">
        <v>2005</v>
      </c>
      <c r="C50" s="4">
        <v>1614.97</v>
      </c>
      <c r="D50" s="4">
        <v>5301.86</v>
      </c>
      <c r="E50" s="16" t="s">
        <v>10</v>
      </c>
      <c r="F50" s="16">
        <f>Table1[[#This Row],[Average_Monthly_Income]]-Table1[[#This Row],[Cost_of_Living]]</f>
        <v>-3686.8899999999994</v>
      </c>
      <c r="G50" s="4"/>
      <c r="I50" s="26" t="s">
        <v>18</v>
      </c>
      <c r="J50" s="27">
        <v>24.13450980392167</v>
      </c>
    </row>
    <row r="51" spans="1:10" ht="16" thickBot="1" x14ac:dyDescent="0.25">
      <c r="A51" s="39" t="s">
        <v>22</v>
      </c>
      <c r="B51" s="4">
        <v>2005</v>
      </c>
      <c r="C51" s="4">
        <v>1664.3</v>
      </c>
      <c r="D51" s="4">
        <v>5124.4399999999996</v>
      </c>
      <c r="E51" s="16" t="s">
        <v>10</v>
      </c>
      <c r="F51" s="16">
        <f>Table1[[#This Row],[Average_Monthly_Income]]-Table1[[#This Row],[Cost_of_Living]]</f>
        <v>-3460.1399999999994</v>
      </c>
      <c r="G51" s="4"/>
      <c r="I51" s="55" t="s">
        <v>17</v>
      </c>
      <c r="J51" s="27">
        <v>-607.10699999999986</v>
      </c>
    </row>
    <row r="52" spans="1:10" ht="16" thickBot="1" x14ac:dyDescent="0.25">
      <c r="A52" s="39" t="s">
        <v>5</v>
      </c>
      <c r="B52" s="4">
        <v>2005</v>
      </c>
      <c r="C52" s="4">
        <v>6963.39</v>
      </c>
      <c r="D52" s="4">
        <v>1585.91</v>
      </c>
      <c r="E52" s="16" t="s">
        <v>6</v>
      </c>
      <c r="F52" s="16">
        <f>Table1[[#This Row],[Average_Monthly_Income]]-Table1[[#This Row],[Cost_of_Living]]</f>
        <v>5377.4800000000005</v>
      </c>
      <c r="G52" s="4"/>
      <c r="I52" s="55" t="s">
        <v>20</v>
      </c>
      <c r="J52" s="27">
        <v>323.7607407407408</v>
      </c>
    </row>
    <row r="53" spans="1:10" ht="16" thickBot="1" x14ac:dyDescent="0.25">
      <c r="A53" s="39" t="s">
        <v>16</v>
      </c>
      <c r="B53" s="4">
        <v>2006</v>
      </c>
      <c r="C53" s="4">
        <v>7470.32</v>
      </c>
      <c r="D53" s="4">
        <v>1076.56</v>
      </c>
      <c r="E53" s="16" t="s">
        <v>8</v>
      </c>
      <c r="F53" s="16">
        <f>Table1[[#This Row],[Average_Monthly_Income]]-Table1[[#This Row],[Cost_of_Living]]</f>
        <v>6393.76</v>
      </c>
      <c r="G53" s="4"/>
      <c r="I53" s="55" t="s">
        <v>21</v>
      </c>
      <c r="J53" s="27">
        <v>-102.8292857142857</v>
      </c>
    </row>
    <row r="54" spans="1:10" ht="16" thickBot="1" x14ac:dyDescent="0.25">
      <c r="A54" s="39" t="s">
        <v>5</v>
      </c>
      <c r="B54" s="4">
        <v>2006</v>
      </c>
      <c r="C54" s="4">
        <v>3970.1</v>
      </c>
      <c r="D54" s="4">
        <v>6132.91</v>
      </c>
      <c r="E54" s="16" t="s">
        <v>6</v>
      </c>
      <c r="F54" s="16">
        <f>Table1[[#This Row],[Average_Monthly_Income]]-Table1[[#This Row],[Cost_of_Living]]</f>
        <v>-2162.81</v>
      </c>
      <c r="G54" s="4"/>
      <c r="I54" s="26" t="s">
        <v>6</v>
      </c>
      <c r="J54" s="27">
        <v>628.57318181818198</v>
      </c>
    </row>
    <row r="55" spans="1:10" ht="16" thickBot="1" x14ac:dyDescent="0.25">
      <c r="A55" s="39" t="s">
        <v>11</v>
      </c>
      <c r="B55" s="4">
        <v>2006</v>
      </c>
      <c r="C55" s="4">
        <v>2837.92</v>
      </c>
      <c r="D55" s="4">
        <v>5663.89</v>
      </c>
      <c r="E55" s="16" t="s">
        <v>12</v>
      </c>
      <c r="F55" s="16">
        <f>Table1[[#This Row],[Average_Monthly_Income]]-Table1[[#This Row],[Cost_of_Living]]</f>
        <v>-2825.9700000000003</v>
      </c>
      <c r="G55" s="4"/>
      <c r="I55" s="55" t="s">
        <v>5</v>
      </c>
      <c r="J55" s="27">
        <v>628.57318181818198</v>
      </c>
    </row>
    <row r="56" spans="1:10" ht="16" thickBot="1" x14ac:dyDescent="0.25">
      <c r="A56" s="39" t="s">
        <v>16</v>
      </c>
      <c r="B56" s="4">
        <v>2006</v>
      </c>
      <c r="C56" s="4">
        <v>4875.4399999999996</v>
      </c>
      <c r="D56" s="4">
        <v>979.92</v>
      </c>
      <c r="E56" s="16" t="s">
        <v>8</v>
      </c>
      <c r="F56" s="16">
        <f>Table1[[#This Row],[Average_Monthly_Income]]-Table1[[#This Row],[Cost_of_Living]]</f>
        <v>3895.5199999999995</v>
      </c>
      <c r="G56" s="4"/>
      <c r="I56" s="26" t="s">
        <v>14</v>
      </c>
      <c r="J56" s="27">
        <v>804.55312500000002</v>
      </c>
    </row>
    <row r="57" spans="1:10" ht="16" thickBot="1" x14ac:dyDescent="0.25">
      <c r="A57" s="39" t="s">
        <v>20</v>
      </c>
      <c r="B57" s="4">
        <v>2006</v>
      </c>
      <c r="C57" s="4">
        <v>4822.16</v>
      </c>
      <c r="D57" s="4">
        <v>743.01</v>
      </c>
      <c r="E57" s="16" t="s">
        <v>18</v>
      </c>
      <c r="F57" s="16">
        <f>Table1[[#This Row],[Average_Monthly_Income]]-Table1[[#This Row],[Cost_of_Living]]</f>
        <v>4079.1499999999996</v>
      </c>
      <c r="G57" s="4"/>
      <c r="I57" s="55" t="s">
        <v>13</v>
      </c>
      <c r="J57" s="27">
        <v>804.55312500000002</v>
      </c>
    </row>
    <row r="58" spans="1:10" ht="16" thickBot="1" x14ac:dyDescent="0.25">
      <c r="A58" s="39" t="s">
        <v>5</v>
      </c>
      <c r="B58" s="4">
        <v>2006</v>
      </c>
      <c r="C58" s="4">
        <v>7507.75</v>
      </c>
      <c r="D58" s="4">
        <v>5112.97</v>
      </c>
      <c r="E58" s="16" t="s">
        <v>6</v>
      </c>
      <c r="F58" s="16">
        <f>Table1[[#This Row],[Average_Monthly_Income]]-Table1[[#This Row],[Cost_of_Living]]</f>
        <v>2394.7799999999997</v>
      </c>
      <c r="G58" s="4"/>
      <c r="I58" s="26" t="s">
        <v>24</v>
      </c>
      <c r="J58" s="27">
        <v>539.79266331658289</v>
      </c>
    </row>
    <row r="59" spans="1:10" x14ac:dyDescent="0.2">
      <c r="A59" s="39" t="s">
        <v>15</v>
      </c>
      <c r="B59" s="4">
        <v>2006</v>
      </c>
      <c r="C59" s="4">
        <v>534.74</v>
      </c>
      <c r="D59" s="4">
        <v>1452.99</v>
      </c>
      <c r="E59" s="16" t="s">
        <v>8</v>
      </c>
      <c r="F59" s="16">
        <f>Table1[[#This Row],[Average_Monthly_Income]]-Table1[[#This Row],[Cost_of_Living]]</f>
        <v>-918.25</v>
      </c>
      <c r="G59" s="4"/>
    </row>
    <row r="60" spans="1:10" x14ac:dyDescent="0.2">
      <c r="A60" s="39" t="s">
        <v>9</v>
      </c>
      <c r="B60" s="4">
        <v>2006</v>
      </c>
      <c r="C60" s="4">
        <v>598.21</v>
      </c>
      <c r="D60" s="4">
        <v>2100.71</v>
      </c>
      <c r="E60" s="16" t="s">
        <v>10</v>
      </c>
      <c r="F60" s="16">
        <f>Table1[[#This Row],[Average_Monthly_Income]]-Table1[[#This Row],[Cost_of_Living]]</f>
        <v>-1502.5</v>
      </c>
      <c r="G60" s="4"/>
    </row>
    <row r="61" spans="1:10" x14ac:dyDescent="0.2">
      <c r="A61" s="39" t="s">
        <v>17</v>
      </c>
      <c r="B61" s="4">
        <v>2006</v>
      </c>
      <c r="C61" s="4">
        <v>4266.46</v>
      </c>
      <c r="D61" s="4">
        <v>6918.49</v>
      </c>
      <c r="E61" s="16" t="s">
        <v>18</v>
      </c>
      <c r="F61" s="16">
        <f>Table1[[#This Row],[Average_Monthly_Income]]-Table1[[#This Row],[Cost_of_Living]]</f>
        <v>-2652.0299999999997</v>
      </c>
      <c r="G61" s="4"/>
    </row>
    <row r="62" spans="1:10" x14ac:dyDescent="0.2">
      <c r="A62" s="39" t="s">
        <v>20</v>
      </c>
      <c r="B62" s="4">
        <v>2006</v>
      </c>
      <c r="C62" s="4">
        <v>4270.3999999999996</v>
      </c>
      <c r="D62" s="4">
        <v>4219.26</v>
      </c>
      <c r="E62" s="16" t="s">
        <v>18</v>
      </c>
      <c r="F62" s="16">
        <f>Table1[[#This Row],[Average_Monthly_Income]]-Table1[[#This Row],[Cost_of_Living]]</f>
        <v>51.139999999999418</v>
      </c>
      <c r="G62" s="4"/>
    </row>
    <row r="63" spans="1:10" x14ac:dyDescent="0.2">
      <c r="A63" s="39" t="s">
        <v>5</v>
      </c>
      <c r="B63" s="4">
        <v>2006</v>
      </c>
      <c r="C63" s="4">
        <v>992.81</v>
      </c>
      <c r="D63" s="4">
        <v>4309.51</v>
      </c>
      <c r="E63" s="16" t="s">
        <v>6</v>
      </c>
      <c r="F63" s="16">
        <f>Table1[[#This Row],[Average_Monthly_Income]]-Table1[[#This Row],[Cost_of_Living]]</f>
        <v>-3316.7000000000003</v>
      </c>
      <c r="G63" s="4"/>
    </row>
    <row r="64" spans="1:10" x14ac:dyDescent="0.2">
      <c r="A64" s="39" t="s">
        <v>16</v>
      </c>
      <c r="B64" s="4">
        <v>2007</v>
      </c>
      <c r="C64" s="4">
        <v>998.72</v>
      </c>
      <c r="D64" s="4">
        <v>3253.41</v>
      </c>
      <c r="E64" s="16" t="s">
        <v>8</v>
      </c>
      <c r="F64" s="16">
        <f>Table1[[#This Row],[Average_Monthly_Income]]-Table1[[#This Row],[Cost_of_Living]]</f>
        <v>-2254.6899999999996</v>
      </c>
      <c r="G64" s="4"/>
    </row>
    <row r="65" spans="1:7" x14ac:dyDescent="0.2">
      <c r="A65" s="39" t="s">
        <v>13</v>
      </c>
      <c r="B65" s="4">
        <v>2007</v>
      </c>
      <c r="C65" s="4">
        <v>7079</v>
      </c>
      <c r="D65" s="4">
        <v>2832.27</v>
      </c>
      <c r="E65" s="16" t="s">
        <v>14</v>
      </c>
      <c r="F65" s="16">
        <f>Table1[[#This Row],[Average_Monthly_Income]]-Table1[[#This Row],[Cost_of_Living]]</f>
        <v>4246.7299999999996</v>
      </c>
      <c r="G65" s="4"/>
    </row>
    <row r="66" spans="1:7" x14ac:dyDescent="0.2">
      <c r="A66" s="39" t="s">
        <v>9</v>
      </c>
      <c r="B66" s="4">
        <v>2007</v>
      </c>
      <c r="C66" s="4">
        <v>4530.47</v>
      </c>
      <c r="D66" s="4">
        <v>6840.71</v>
      </c>
      <c r="E66" s="16" t="s">
        <v>10</v>
      </c>
      <c r="F66" s="16">
        <f>Table1[[#This Row],[Average_Monthly_Income]]-Table1[[#This Row],[Cost_of_Living]]</f>
        <v>-2310.2399999999998</v>
      </c>
      <c r="G66" s="4"/>
    </row>
    <row r="67" spans="1:7" x14ac:dyDescent="0.2">
      <c r="A67" s="39" t="s">
        <v>7</v>
      </c>
      <c r="B67" s="4">
        <v>2007</v>
      </c>
      <c r="C67" s="4">
        <v>1822.9</v>
      </c>
      <c r="D67" s="4">
        <v>6975.8</v>
      </c>
      <c r="E67" s="16" t="s">
        <v>8</v>
      </c>
      <c r="F67" s="16">
        <f>Table1[[#This Row],[Average_Monthly_Income]]-Table1[[#This Row],[Cost_of_Living]]</f>
        <v>-5152.8999999999996</v>
      </c>
      <c r="G67" s="4"/>
    </row>
    <row r="68" spans="1:7" x14ac:dyDescent="0.2">
      <c r="A68" s="39" t="s">
        <v>20</v>
      </c>
      <c r="B68" s="4">
        <v>2007</v>
      </c>
      <c r="C68" s="4">
        <v>4040.5</v>
      </c>
      <c r="D68" s="4">
        <v>3183.36</v>
      </c>
      <c r="E68" s="16" t="s">
        <v>18</v>
      </c>
      <c r="F68" s="16">
        <f>Table1[[#This Row],[Average_Monthly_Income]]-Table1[[#This Row],[Cost_of_Living]]</f>
        <v>857.13999999999987</v>
      </c>
      <c r="G68" s="4"/>
    </row>
    <row r="69" spans="1:7" x14ac:dyDescent="0.2">
      <c r="A69" s="39" t="s">
        <v>20</v>
      </c>
      <c r="B69" s="4">
        <v>2008</v>
      </c>
      <c r="C69" s="4">
        <v>3327.08</v>
      </c>
      <c r="D69" s="4">
        <v>1624.47</v>
      </c>
      <c r="E69" s="16" t="s">
        <v>18</v>
      </c>
      <c r="F69" s="16">
        <f>Table1[[#This Row],[Average_Monthly_Income]]-Table1[[#This Row],[Cost_of_Living]]</f>
        <v>1702.61</v>
      </c>
      <c r="G69" s="4"/>
    </row>
    <row r="70" spans="1:7" x14ac:dyDescent="0.2">
      <c r="A70" s="39" t="s">
        <v>15</v>
      </c>
      <c r="B70" s="4">
        <v>2008</v>
      </c>
      <c r="C70" s="4">
        <v>5207.8100000000004</v>
      </c>
      <c r="D70" s="4">
        <v>1174.23</v>
      </c>
      <c r="E70" s="16" t="s">
        <v>8</v>
      </c>
      <c r="F70" s="16">
        <f>Table1[[#This Row],[Average_Monthly_Income]]-Table1[[#This Row],[Cost_of_Living]]</f>
        <v>4033.5800000000004</v>
      </c>
      <c r="G70" s="4"/>
    </row>
    <row r="71" spans="1:7" x14ac:dyDescent="0.2">
      <c r="A71" s="39" t="s">
        <v>22</v>
      </c>
      <c r="B71" s="4">
        <v>2008</v>
      </c>
      <c r="C71" s="4">
        <v>6848.39</v>
      </c>
      <c r="D71" s="4">
        <v>6076.81</v>
      </c>
      <c r="E71" s="16" t="s">
        <v>10</v>
      </c>
      <c r="F71" s="16">
        <f>Table1[[#This Row],[Average_Monthly_Income]]-Table1[[#This Row],[Cost_of_Living]]</f>
        <v>771.57999999999993</v>
      </c>
      <c r="G71" s="4"/>
    </row>
    <row r="72" spans="1:7" x14ac:dyDescent="0.2">
      <c r="A72" s="39" t="s">
        <v>20</v>
      </c>
      <c r="B72" s="4">
        <v>2008</v>
      </c>
      <c r="C72" s="4">
        <v>2388.4899999999998</v>
      </c>
      <c r="D72" s="4">
        <v>4093.68</v>
      </c>
      <c r="E72" s="16" t="s">
        <v>18</v>
      </c>
      <c r="F72" s="16">
        <f>Table1[[#This Row],[Average_Monthly_Income]]-Table1[[#This Row],[Cost_of_Living]]</f>
        <v>-1705.19</v>
      </c>
      <c r="G72" s="4"/>
    </row>
    <row r="73" spans="1:7" x14ac:dyDescent="0.2">
      <c r="A73" s="39" t="s">
        <v>9</v>
      </c>
      <c r="B73" s="4">
        <v>2008</v>
      </c>
      <c r="C73" s="4">
        <v>7313.38</v>
      </c>
      <c r="D73" s="4">
        <v>3816.9</v>
      </c>
      <c r="E73" s="16" t="s">
        <v>10</v>
      </c>
      <c r="F73" s="16">
        <f>Table1[[#This Row],[Average_Monthly_Income]]-Table1[[#This Row],[Cost_of_Living]]</f>
        <v>3496.48</v>
      </c>
      <c r="G73" s="4"/>
    </row>
    <row r="74" spans="1:7" x14ac:dyDescent="0.2">
      <c r="A74" s="39" t="s">
        <v>16</v>
      </c>
      <c r="B74" s="4">
        <v>2008</v>
      </c>
      <c r="C74" s="4">
        <v>4934.57</v>
      </c>
      <c r="D74" s="4">
        <v>3874.26</v>
      </c>
      <c r="E74" s="16" t="s">
        <v>8</v>
      </c>
      <c r="F74" s="16">
        <f>Table1[[#This Row],[Average_Monthly_Income]]-Table1[[#This Row],[Cost_of_Living]]</f>
        <v>1060.3099999999995</v>
      </c>
      <c r="G74" s="4"/>
    </row>
    <row r="75" spans="1:7" x14ac:dyDescent="0.2">
      <c r="A75" s="39" t="s">
        <v>15</v>
      </c>
      <c r="B75" s="4">
        <v>2008</v>
      </c>
      <c r="C75" s="4">
        <v>3097.59</v>
      </c>
      <c r="D75" s="4">
        <v>1601.98</v>
      </c>
      <c r="E75" s="16" t="s">
        <v>8</v>
      </c>
      <c r="F75" s="16">
        <f>Table1[[#This Row],[Average_Monthly_Income]]-Table1[[#This Row],[Cost_of_Living]]</f>
        <v>1495.6100000000001</v>
      </c>
      <c r="G75" s="4"/>
    </row>
    <row r="76" spans="1:7" x14ac:dyDescent="0.2">
      <c r="A76" s="39" t="s">
        <v>22</v>
      </c>
      <c r="B76" s="4">
        <v>2008</v>
      </c>
      <c r="C76" s="4">
        <v>4736.3100000000004</v>
      </c>
      <c r="D76" s="4">
        <v>2227.06</v>
      </c>
      <c r="E76" s="16" t="s">
        <v>10</v>
      </c>
      <c r="F76" s="16">
        <f>Table1[[#This Row],[Average_Monthly_Income]]-Table1[[#This Row],[Cost_of_Living]]</f>
        <v>2509.2500000000005</v>
      </c>
      <c r="G76" s="4"/>
    </row>
    <row r="77" spans="1:7" x14ac:dyDescent="0.2">
      <c r="A77" s="39" t="s">
        <v>13</v>
      </c>
      <c r="B77" s="4">
        <v>2009</v>
      </c>
      <c r="C77" s="4">
        <v>1902.83</v>
      </c>
      <c r="D77" s="4">
        <v>5073.9399999999996</v>
      </c>
      <c r="E77" s="16" t="s">
        <v>14</v>
      </c>
      <c r="F77" s="16">
        <f>Table1[[#This Row],[Average_Monthly_Income]]-Table1[[#This Row],[Cost_of_Living]]</f>
        <v>-3171.1099999999997</v>
      </c>
      <c r="G77" s="4"/>
    </row>
    <row r="78" spans="1:7" x14ac:dyDescent="0.2">
      <c r="A78" s="39" t="s">
        <v>13</v>
      </c>
      <c r="B78" s="4">
        <v>2009</v>
      </c>
      <c r="C78" s="4">
        <v>5079.6499999999996</v>
      </c>
      <c r="D78" s="4">
        <v>6152.14</v>
      </c>
      <c r="E78" s="16" t="s">
        <v>14</v>
      </c>
      <c r="F78" s="16">
        <f>Table1[[#This Row],[Average_Monthly_Income]]-Table1[[#This Row],[Cost_of_Living]]</f>
        <v>-1072.4900000000007</v>
      </c>
      <c r="G78" s="4"/>
    </row>
    <row r="79" spans="1:7" x14ac:dyDescent="0.2">
      <c r="A79" s="39" t="s">
        <v>5</v>
      </c>
      <c r="B79" s="4">
        <v>2009</v>
      </c>
      <c r="C79" s="4">
        <v>6058.4</v>
      </c>
      <c r="D79" s="4">
        <v>6627.87</v>
      </c>
      <c r="E79" s="16" t="s">
        <v>6</v>
      </c>
      <c r="F79" s="16">
        <f>Table1[[#This Row],[Average_Monthly_Income]]-Table1[[#This Row],[Cost_of_Living]]</f>
        <v>-569.47000000000025</v>
      </c>
      <c r="G79" s="4"/>
    </row>
    <row r="80" spans="1:7" x14ac:dyDescent="0.2">
      <c r="A80" s="39" t="s">
        <v>19</v>
      </c>
      <c r="B80" s="4">
        <v>2009</v>
      </c>
      <c r="C80" s="4">
        <v>3443.34</v>
      </c>
      <c r="D80" s="4">
        <v>6104.76</v>
      </c>
      <c r="E80" s="16" t="s">
        <v>10</v>
      </c>
      <c r="F80" s="16">
        <f>Table1[[#This Row],[Average_Monthly_Income]]-Table1[[#This Row],[Cost_of_Living]]</f>
        <v>-2661.42</v>
      </c>
      <c r="G80" s="4"/>
    </row>
    <row r="81" spans="1:7" x14ac:dyDescent="0.2">
      <c r="A81" s="39" t="s">
        <v>17</v>
      </c>
      <c r="B81" s="4">
        <v>2009</v>
      </c>
      <c r="C81" s="4">
        <v>1376.74</v>
      </c>
      <c r="D81" s="4">
        <v>5657.15</v>
      </c>
      <c r="E81" s="16" t="s">
        <v>18</v>
      </c>
      <c r="F81" s="16">
        <f>Table1[[#This Row],[Average_Monthly_Income]]-Table1[[#This Row],[Cost_of_Living]]</f>
        <v>-4280.41</v>
      </c>
      <c r="G81" s="4"/>
    </row>
    <row r="82" spans="1:7" x14ac:dyDescent="0.2">
      <c r="A82" s="39" t="s">
        <v>5</v>
      </c>
      <c r="B82" s="4">
        <v>2009</v>
      </c>
      <c r="C82" s="4">
        <v>6023.33</v>
      </c>
      <c r="D82" s="4">
        <v>6148.4</v>
      </c>
      <c r="E82" s="16" t="s">
        <v>6</v>
      </c>
      <c r="F82" s="16">
        <f>Table1[[#This Row],[Average_Monthly_Income]]-Table1[[#This Row],[Cost_of_Living]]</f>
        <v>-125.06999999999971</v>
      </c>
      <c r="G82" s="4"/>
    </row>
    <row r="83" spans="1:7" x14ac:dyDescent="0.2">
      <c r="A83" s="39" t="s">
        <v>13</v>
      </c>
      <c r="B83" s="4">
        <v>2009</v>
      </c>
      <c r="C83" s="4">
        <v>3492.52</v>
      </c>
      <c r="D83" s="4">
        <v>5228.49</v>
      </c>
      <c r="E83" s="16" t="s">
        <v>14</v>
      </c>
      <c r="F83" s="16">
        <f>Table1[[#This Row],[Average_Monthly_Income]]-Table1[[#This Row],[Cost_of_Living]]</f>
        <v>-1735.9699999999998</v>
      </c>
      <c r="G83" s="4"/>
    </row>
    <row r="84" spans="1:7" x14ac:dyDescent="0.2">
      <c r="A84" s="39" t="s">
        <v>22</v>
      </c>
      <c r="B84" s="4">
        <v>2009</v>
      </c>
      <c r="C84" s="4">
        <v>7398.92</v>
      </c>
      <c r="D84" s="4">
        <v>2623.51</v>
      </c>
      <c r="E84" s="16" t="s">
        <v>10</v>
      </c>
      <c r="F84" s="16">
        <f>Table1[[#This Row],[Average_Monthly_Income]]-Table1[[#This Row],[Cost_of_Living]]</f>
        <v>4775.41</v>
      </c>
      <c r="G84" s="4"/>
    </row>
    <row r="85" spans="1:7" x14ac:dyDescent="0.2">
      <c r="A85" s="39" t="s">
        <v>20</v>
      </c>
      <c r="B85" s="4">
        <v>2009</v>
      </c>
      <c r="C85" s="4">
        <v>4965.3900000000003</v>
      </c>
      <c r="D85" s="4">
        <v>664.72</v>
      </c>
      <c r="E85" s="16" t="s">
        <v>18</v>
      </c>
      <c r="F85" s="16">
        <f>Table1[[#This Row],[Average_Monthly_Income]]-Table1[[#This Row],[Cost_of_Living]]</f>
        <v>4300.67</v>
      </c>
      <c r="G85" s="4"/>
    </row>
    <row r="86" spans="1:7" x14ac:dyDescent="0.2">
      <c r="A86" s="39" t="s">
        <v>20</v>
      </c>
      <c r="B86" s="4">
        <v>2010</v>
      </c>
      <c r="C86" s="4">
        <v>6729.65</v>
      </c>
      <c r="D86" s="4">
        <v>943.71</v>
      </c>
      <c r="E86" s="16" t="s">
        <v>18</v>
      </c>
      <c r="F86" s="16">
        <f>Table1[[#This Row],[Average_Monthly_Income]]-Table1[[#This Row],[Cost_of_Living]]</f>
        <v>5785.94</v>
      </c>
      <c r="G86" s="4"/>
    </row>
    <row r="87" spans="1:7" x14ac:dyDescent="0.2">
      <c r="A87" s="39" t="s">
        <v>13</v>
      </c>
      <c r="B87" s="4">
        <v>2010</v>
      </c>
      <c r="C87" s="4">
        <v>4808.55</v>
      </c>
      <c r="D87" s="4">
        <v>3170.2</v>
      </c>
      <c r="E87" s="16" t="s">
        <v>14</v>
      </c>
      <c r="F87" s="16">
        <f>Table1[[#This Row],[Average_Monthly_Income]]-Table1[[#This Row],[Cost_of_Living]]</f>
        <v>1638.3500000000004</v>
      </c>
      <c r="G87" s="4"/>
    </row>
    <row r="88" spans="1:7" x14ac:dyDescent="0.2">
      <c r="A88" s="39" t="s">
        <v>7</v>
      </c>
      <c r="B88" s="4">
        <v>2010</v>
      </c>
      <c r="C88" s="4">
        <v>7246.81</v>
      </c>
      <c r="D88" s="4">
        <v>4533.05</v>
      </c>
      <c r="E88" s="16" t="s">
        <v>8</v>
      </c>
      <c r="F88" s="16">
        <f>Table1[[#This Row],[Average_Monthly_Income]]-Table1[[#This Row],[Cost_of_Living]]</f>
        <v>2713.76</v>
      </c>
      <c r="G88" s="4"/>
    </row>
    <row r="89" spans="1:7" x14ac:dyDescent="0.2">
      <c r="A89" s="39" t="s">
        <v>11</v>
      </c>
      <c r="B89" s="4">
        <v>2010</v>
      </c>
      <c r="C89" s="4">
        <v>6791.74</v>
      </c>
      <c r="D89" s="4">
        <v>6305.79</v>
      </c>
      <c r="E89" s="16" t="s">
        <v>12</v>
      </c>
      <c r="F89" s="16">
        <f>Table1[[#This Row],[Average_Monthly_Income]]-Table1[[#This Row],[Cost_of_Living]]</f>
        <v>485.94999999999982</v>
      </c>
      <c r="G89" s="4"/>
    </row>
    <row r="90" spans="1:7" x14ac:dyDescent="0.2">
      <c r="A90" s="39" t="s">
        <v>17</v>
      </c>
      <c r="B90" s="4">
        <v>2010</v>
      </c>
      <c r="C90" s="4">
        <v>1434.97</v>
      </c>
      <c r="D90" s="4">
        <v>4014.11</v>
      </c>
      <c r="E90" s="16" t="s">
        <v>18</v>
      </c>
      <c r="F90" s="16">
        <f>Table1[[#This Row],[Average_Monthly_Income]]-Table1[[#This Row],[Cost_of_Living]]</f>
        <v>-2579.1400000000003</v>
      </c>
      <c r="G90" s="4"/>
    </row>
    <row r="91" spans="1:7" x14ac:dyDescent="0.2">
      <c r="A91" s="39" t="s">
        <v>11</v>
      </c>
      <c r="B91" s="4">
        <v>2011</v>
      </c>
      <c r="C91" s="4">
        <v>6628.04</v>
      </c>
      <c r="D91" s="4">
        <v>6755.75</v>
      </c>
      <c r="E91" s="16" t="s">
        <v>12</v>
      </c>
      <c r="F91" s="16">
        <f>Table1[[#This Row],[Average_Monthly_Income]]-Table1[[#This Row],[Cost_of_Living]]</f>
        <v>-127.71000000000004</v>
      </c>
      <c r="G91" s="4"/>
    </row>
    <row r="92" spans="1:7" x14ac:dyDescent="0.2">
      <c r="A92" s="39" t="s">
        <v>9</v>
      </c>
      <c r="B92" s="4">
        <v>2011</v>
      </c>
      <c r="C92" s="4">
        <v>6201.71</v>
      </c>
      <c r="D92" s="4">
        <v>3212.8</v>
      </c>
      <c r="E92" s="16" t="s">
        <v>10</v>
      </c>
      <c r="F92" s="16">
        <f>Table1[[#This Row],[Average_Monthly_Income]]-Table1[[#This Row],[Cost_of_Living]]</f>
        <v>2988.91</v>
      </c>
      <c r="G92" s="4"/>
    </row>
    <row r="93" spans="1:7" x14ac:dyDescent="0.2">
      <c r="A93" s="39" t="s">
        <v>7</v>
      </c>
      <c r="B93" s="4">
        <v>2011</v>
      </c>
      <c r="C93" s="4">
        <v>1432.23</v>
      </c>
      <c r="D93" s="4">
        <v>4719.7700000000004</v>
      </c>
      <c r="E93" s="16" t="s">
        <v>8</v>
      </c>
      <c r="F93" s="16">
        <f>Table1[[#This Row],[Average_Monthly_Income]]-Table1[[#This Row],[Cost_of_Living]]</f>
        <v>-3287.5400000000004</v>
      </c>
      <c r="G93" s="4"/>
    </row>
    <row r="94" spans="1:7" x14ac:dyDescent="0.2">
      <c r="A94" s="39" t="s">
        <v>22</v>
      </c>
      <c r="B94" s="4">
        <v>2011</v>
      </c>
      <c r="C94" s="4">
        <v>6813.72</v>
      </c>
      <c r="D94" s="4">
        <v>4614.2700000000004</v>
      </c>
      <c r="E94" s="16" t="s">
        <v>10</v>
      </c>
      <c r="F94" s="16">
        <f>Table1[[#This Row],[Average_Monthly_Income]]-Table1[[#This Row],[Cost_of_Living]]</f>
        <v>2199.4499999999998</v>
      </c>
      <c r="G94" s="4"/>
    </row>
    <row r="95" spans="1:7" x14ac:dyDescent="0.2">
      <c r="A95" s="39" t="s">
        <v>19</v>
      </c>
      <c r="B95" s="4">
        <v>2011</v>
      </c>
      <c r="C95" s="4">
        <v>6464.5</v>
      </c>
      <c r="D95" s="4">
        <v>2209.8200000000002</v>
      </c>
      <c r="E95" s="16" t="s">
        <v>10</v>
      </c>
      <c r="F95" s="16">
        <f>Table1[[#This Row],[Average_Monthly_Income]]-Table1[[#This Row],[Cost_of_Living]]</f>
        <v>4254.68</v>
      </c>
      <c r="G95" s="4"/>
    </row>
    <row r="96" spans="1:7" x14ac:dyDescent="0.2">
      <c r="A96" s="39" t="s">
        <v>11</v>
      </c>
      <c r="B96" s="4">
        <v>2011</v>
      </c>
      <c r="C96" s="4">
        <v>4774.17</v>
      </c>
      <c r="D96" s="4">
        <v>878.15</v>
      </c>
      <c r="E96" s="16" t="s">
        <v>12</v>
      </c>
      <c r="F96" s="16">
        <f>Table1[[#This Row],[Average_Monthly_Income]]-Table1[[#This Row],[Cost_of_Living]]</f>
        <v>3896.02</v>
      </c>
      <c r="G96" s="4"/>
    </row>
    <row r="97" spans="1:7" x14ac:dyDescent="0.2">
      <c r="A97" s="39" t="s">
        <v>21</v>
      </c>
      <c r="B97" s="4">
        <v>2011</v>
      </c>
      <c r="C97" s="4">
        <v>4570.43</v>
      </c>
      <c r="D97" s="4">
        <v>5036.2700000000004</v>
      </c>
      <c r="E97" s="16" t="s">
        <v>18</v>
      </c>
      <c r="F97" s="16">
        <f>Table1[[#This Row],[Average_Monthly_Income]]-Table1[[#This Row],[Cost_of_Living]]</f>
        <v>-465.84000000000015</v>
      </c>
      <c r="G97" s="4"/>
    </row>
    <row r="98" spans="1:7" x14ac:dyDescent="0.2">
      <c r="A98" s="39" t="s">
        <v>11</v>
      </c>
      <c r="B98" s="4">
        <v>2011</v>
      </c>
      <c r="C98" s="4">
        <v>1861.98</v>
      </c>
      <c r="D98" s="4">
        <v>2554.64</v>
      </c>
      <c r="E98" s="16" t="s">
        <v>12</v>
      </c>
      <c r="F98" s="16">
        <f>Table1[[#This Row],[Average_Monthly_Income]]-Table1[[#This Row],[Cost_of_Living]]</f>
        <v>-692.65999999999985</v>
      </c>
      <c r="G98" s="4"/>
    </row>
    <row r="99" spans="1:7" x14ac:dyDescent="0.2">
      <c r="A99" s="39" t="s">
        <v>5</v>
      </c>
      <c r="B99" s="4">
        <v>2011</v>
      </c>
      <c r="C99" s="4">
        <v>7040.93</v>
      </c>
      <c r="D99" s="4">
        <v>1720.99</v>
      </c>
      <c r="E99" s="16" t="s">
        <v>6</v>
      </c>
      <c r="F99" s="16">
        <f>Table1[[#This Row],[Average_Monthly_Income]]-Table1[[#This Row],[Cost_of_Living]]</f>
        <v>5319.9400000000005</v>
      </c>
      <c r="G99" s="4"/>
    </row>
    <row r="100" spans="1:7" x14ac:dyDescent="0.2">
      <c r="A100" s="39" t="s">
        <v>21</v>
      </c>
      <c r="B100" s="4">
        <v>2011</v>
      </c>
      <c r="C100" s="4">
        <v>4391.29</v>
      </c>
      <c r="D100" s="4">
        <v>4647.6099999999997</v>
      </c>
      <c r="E100" s="16" t="s">
        <v>18</v>
      </c>
      <c r="F100" s="16">
        <f>Table1[[#This Row],[Average_Monthly_Income]]-Table1[[#This Row],[Cost_of_Living]]</f>
        <v>-256.31999999999971</v>
      </c>
      <c r="G100" s="4"/>
    </row>
    <row r="101" spans="1:7" x14ac:dyDescent="0.2">
      <c r="A101" s="39" t="s">
        <v>16</v>
      </c>
      <c r="B101" s="4">
        <v>2011</v>
      </c>
      <c r="C101" s="4">
        <v>910.71</v>
      </c>
      <c r="D101" s="4">
        <v>938.76</v>
      </c>
      <c r="E101" s="16" t="s">
        <v>8</v>
      </c>
      <c r="F101" s="16">
        <f>Table1[[#This Row],[Average_Monthly_Income]]-Table1[[#This Row],[Cost_of_Living]]</f>
        <v>-28.049999999999955</v>
      </c>
      <c r="G101" s="4"/>
    </row>
    <row r="102" spans="1:7" x14ac:dyDescent="0.2">
      <c r="A102" s="39" t="s">
        <v>22</v>
      </c>
      <c r="B102" s="4">
        <v>2011</v>
      </c>
      <c r="C102" s="4">
        <v>1140.1199999999999</v>
      </c>
      <c r="D102" s="4">
        <v>2683.17</v>
      </c>
      <c r="E102" s="16" t="s">
        <v>10</v>
      </c>
      <c r="F102" s="16">
        <f>Table1[[#This Row],[Average_Monthly_Income]]-Table1[[#This Row],[Cost_of_Living]]</f>
        <v>-1543.0500000000002</v>
      </c>
      <c r="G102" s="4"/>
    </row>
    <row r="103" spans="1:7" x14ac:dyDescent="0.2">
      <c r="A103" s="39" t="s">
        <v>17</v>
      </c>
      <c r="B103" s="4">
        <v>2011</v>
      </c>
      <c r="C103" s="4">
        <v>7595.87</v>
      </c>
      <c r="D103" s="4">
        <v>1967.79</v>
      </c>
      <c r="E103" s="16" t="s">
        <v>18</v>
      </c>
      <c r="F103" s="16">
        <f>Table1[[#This Row],[Average_Monthly_Income]]-Table1[[#This Row],[Cost_of_Living]]</f>
        <v>5628.08</v>
      </c>
      <c r="G103" s="4"/>
    </row>
    <row r="104" spans="1:7" x14ac:dyDescent="0.2">
      <c r="A104" s="39" t="s">
        <v>19</v>
      </c>
      <c r="B104" s="4">
        <v>2012</v>
      </c>
      <c r="C104" s="4">
        <v>4494.42</v>
      </c>
      <c r="D104" s="4">
        <v>5404.54</v>
      </c>
      <c r="E104" s="16" t="s">
        <v>10</v>
      </c>
      <c r="F104" s="16">
        <f>Table1[[#This Row],[Average_Monthly_Income]]-Table1[[#This Row],[Cost_of_Living]]</f>
        <v>-910.11999999999989</v>
      </c>
      <c r="G104" s="4"/>
    </row>
    <row r="105" spans="1:7" x14ac:dyDescent="0.2">
      <c r="A105" s="39" t="s">
        <v>5</v>
      </c>
      <c r="B105" s="4">
        <v>2012</v>
      </c>
      <c r="C105" s="4">
        <v>1548.29</v>
      </c>
      <c r="D105" s="4">
        <v>3024.12</v>
      </c>
      <c r="E105" s="16" t="s">
        <v>6</v>
      </c>
      <c r="F105" s="16">
        <f>Table1[[#This Row],[Average_Monthly_Income]]-Table1[[#This Row],[Cost_of_Living]]</f>
        <v>-1475.83</v>
      </c>
      <c r="G105" s="4"/>
    </row>
    <row r="106" spans="1:7" x14ac:dyDescent="0.2">
      <c r="A106" s="39" t="s">
        <v>21</v>
      </c>
      <c r="B106" s="4">
        <v>2012</v>
      </c>
      <c r="C106" s="4">
        <v>2241.6</v>
      </c>
      <c r="D106" s="4">
        <v>5422.76</v>
      </c>
      <c r="E106" s="16" t="s">
        <v>18</v>
      </c>
      <c r="F106" s="16">
        <f>Table1[[#This Row],[Average_Monthly_Income]]-Table1[[#This Row],[Cost_of_Living]]</f>
        <v>-3181.1600000000003</v>
      </c>
      <c r="G106" s="4"/>
    </row>
    <row r="107" spans="1:7" x14ac:dyDescent="0.2">
      <c r="A107" s="39" t="s">
        <v>13</v>
      </c>
      <c r="B107" s="4">
        <v>2012</v>
      </c>
      <c r="C107" s="4">
        <v>3065.61</v>
      </c>
      <c r="D107" s="4">
        <v>4360.1400000000003</v>
      </c>
      <c r="E107" s="16" t="s">
        <v>14</v>
      </c>
      <c r="F107" s="16">
        <f>Table1[[#This Row],[Average_Monthly_Income]]-Table1[[#This Row],[Cost_of_Living]]</f>
        <v>-1294.5300000000002</v>
      </c>
      <c r="G107" s="4"/>
    </row>
    <row r="108" spans="1:7" x14ac:dyDescent="0.2">
      <c r="A108" s="39" t="s">
        <v>22</v>
      </c>
      <c r="B108" s="4">
        <v>2012</v>
      </c>
      <c r="C108" s="4">
        <v>5916.89</v>
      </c>
      <c r="D108" s="4">
        <v>6911.97</v>
      </c>
      <c r="E108" s="16" t="s">
        <v>10</v>
      </c>
      <c r="F108" s="16">
        <f>Table1[[#This Row],[Average_Monthly_Income]]-Table1[[#This Row],[Cost_of_Living]]</f>
        <v>-995.07999999999993</v>
      </c>
      <c r="G108" s="4"/>
    </row>
    <row r="109" spans="1:7" x14ac:dyDescent="0.2">
      <c r="A109" s="39" t="s">
        <v>19</v>
      </c>
      <c r="B109" s="4">
        <v>2012</v>
      </c>
      <c r="C109" s="4">
        <v>5050.3599999999997</v>
      </c>
      <c r="D109" s="4">
        <v>3972.56</v>
      </c>
      <c r="E109" s="16" t="s">
        <v>10</v>
      </c>
      <c r="F109" s="16">
        <f>Table1[[#This Row],[Average_Monthly_Income]]-Table1[[#This Row],[Cost_of_Living]]</f>
        <v>1077.7999999999997</v>
      </c>
      <c r="G109" s="4"/>
    </row>
    <row r="110" spans="1:7" x14ac:dyDescent="0.2">
      <c r="A110" s="39" t="s">
        <v>5</v>
      </c>
      <c r="B110" s="4">
        <v>2012</v>
      </c>
      <c r="C110" s="4">
        <v>3486.27</v>
      </c>
      <c r="D110" s="4">
        <v>1846.81</v>
      </c>
      <c r="E110" s="16" t="s">
        <v>6</v>
      </c>
      <c r="F110" s="16">
        <f>Table1[[#This Row],[Average_Monthly_Income]]-Table1[[#This Row],[Cost_of_Living]]</f>
        <v>1639.46</v>
      </c>
      <c r="G110" s="4"/>
    </row>
    <row r="111" spans="1:7" x14ac:dyDescent="0.2">
      <c r="A111" s="39" t="s">
        <v>5</v>
      </c>
      <c r="B111" s="4">
        <v>2012</v>
      </c>
      <c r="C111" s="4">
        <v>4407.1400000000003</v>
      </c>
      <c r="D111" s="4">
        <v>4692.1499999999996</v>
      </c>
      <c r="E111" s="16" t="s">
        <v>6</v>
      </c>
      <c r="F111" s="16">
        <f>Table1[[#This Row],[Average_Monthly_Income]]-Table1[[#This Row],[Cost_of_Living]]</f>
        <v>-285.00999999999931</v>
      </c>
      <c r="G111" s="4"/>
    </row>
    <row r="112" spans="1:7" x14ac:dyDescent="0.2">
      <c r="A112" s="39" t="s">
        <v>16</v>
      </c>
      <c r="B112" s="4">
        <v>2012</v>
      </c>
      <c r="C112" s="4">
        <v>5476.53</v>
      </c>
      <c r="D112" s="4">
        <v>3453.31</v>
      </c>
      <c r="E112" s="16" t="s">
        <v>8</v>
      </c>
      <c r="F112" s="16">
        <f>Table1[[#This Row],[Average_Monthly_Income]]-Table1[[#This Row],[Cost_of_Living]]</f>
        <v>2023.2199999999998</v>
      </c>
      <c r="G112" s="4"/>
    </row>
    <row r="113" spans="1:7" x14ac:dyDescent="0.2">
      <c r="A113" s="39" t="s">
        <v>7</v>
      </c>
      <c r="B113" s="4">
        <v>2012</v>
      </c>
      <c r="C113" s="4">
        <v>7235.41</v>
      </c>
      <c r="D113" s="4">
        <v>5186.7</v>
      </c>
      <c r="E113" s="16" t="s">
        <v>8</v>
      </c>
      <c r="F113" s="16">
        <f>Table1[[#This Row],[Average_Monthly_Income]]-Table1[[#This Row],[Cost_of_Living]]</f>
        <v>2048.71</v>
      </c>
      <c r="G113" s="4"/>
    </row>
    <row r="114" spans="1:7" x14ac:dyDescent="0.2">
      <c r="A114" s="39" t="s">
        <v>9</v>
      </c>
      <c r="B114" s="4">
        <v>2012</v>
      </c>
      <c r="C114" s="4">
        <v>2038.55</v>
      </c>
      <c r="D114" s="4">
        <v>3612.02</v>
      </c>
      <c r="E114" s="16" t="s">
        <v>10</v>
      </c>
      <c r="F114" s="16">
        <f>Table1[[#This Row],[Average_Monthly_Income]]-Table1[[#This Row],[Cost_of_Living]]</f>
        <v>-1573.47</v>
      </c>
      <c r="G114" s="4"/>
    </row>
    <row r="115" spans="1:7" x14ac:dyDescent="0.2">
      <c r="A115" s="39" t="s">
        <v>22</v>
      </c>
      <c r="B115" s="4">
        <v>2012</v>
      </c>
      <c r="C115" s="4">
        <v>4432.93</v>
      </c>
      <c r="D115" s="4">
        <v>4511.58</v>
      </c>
      <c r="E115" s="16" t="s">
        <v>10</v>
      </c>
      <c r="F115" s="16">
        <f>Table1[[#This Row],[Average_Monthly_Income]]-Table1[[#This Row],[Cost_of_Living]]</f>
        <v>-78.649999999999636</v>
      </c>
      <c r="G115" s="4"/>
    </row>
    <row r="116" spans="1:7" x14ac:dyDescent="0.2">
      <c r="A116" s="39" t="s">
        <v>11</v>
      </c>
      <c r="B116" s="4">
        <v>2012</v>
      </c>
      <c r="C116" s="4">
        <v>3299.82</v>
      </c>
      <c r="D116" s="4">
        <v>6811.21</v>
      </c>
      <c r="E116" s="16" t="s">
        <v>12</v>
      </c>
      <c r="F116" s="16">
        <f>Table1[[#This Row],[Average_Monthly_Income]]-Table1[[#This Row],[Cost_of_Living]]</f>
        <v>-3511.39</v>
      </c>
      <c r="G116" s="4"/>
    </row>
    <row r="117" spans="1:7" x14ac:dyDescent="0.2">
      <c r="A117" s="39" t="s">
        <v>9</v>
      </c>
      <c r="B117" s="4">
        <v>2012</v>
      </c>
      <c r="C117" s="4">
        <v>2530.59</v>
      </c>
      <c r="D117" s="4">
        <v>1594.45</v>
      </c>
      <c r="E117" s="16" t="s">
        <v>10</v>
      </c>
      <c r="F117" s="16">
        <f>Table1[[#This Row],[Average_Monthly_Income]]-Table1[[#This Row],[Cost_of_Living]]</f>
        <v>936.1400000000001</v>
      </c>
      <c r="G117" s="4"/>
    </row>
    <row r="118" spans="1:7" x14ac:dyDescent="0.2">
      <c r="A118" s="39" t="s">
        <v>5</v>
      </c>
      <c r="B118" s="4">
        <v>2013</v>
      </c>
      <c r="C118" s="4">
        <v>3483.92</v>
      </c>
      <c r="D118" s="4">
        <v>1106.07</v>
      </c>
      <c r="E118" s="16" t="s">
        <v>6</v>
      </c>
      <c r="F118" s="16">
        <f>Table1[[#This Row],[Average_Monthly_Income]]-Table1[[#This Row],[Cost_of_Living]]</f>
        <v>2377.8500000000004</v>
      </c>
      <c r="G118" s="4"/>
    </row>
    <row r="119" spans="1:7" x14ac:dyDescent="0.2">
      <c r="A119" s="39" t="s">
        <v>7</v>
      </c>
      <c r="B119" s="4">
        <v>2013</v>
      </c>
      <c r="C119" s="4">
        <v>2012.2</v>
      </c>
      <c r="D119" s="4">
        <v>6894.25</v>
      </c>
      <c r="E119" s="16" t="s">
        <v>8</v>
      </c>
      <c r="F119" s="16">
        <f>Table1[[#This Row],[Average_Monthly_Income]]-Table1[[#This Row],[Cost_of_Living]]</f>
        <v>-4882.05</v>
      </c>
      <c r="G119" s="4"/>
    </row>
    <row r="120" spans="1:7" x14ac:dyDescent="0.2">
      <c r="A120" s="39" t="s">
        <v>21</v>
      </c>
      <c r="B120" s="4">
        <v>2013</v>
      </c>
      <c r="C120" s="4">
        <v>3506.39</v>
      </c>
      <c r="D120" s="4">
        <v>2714.14</v>
      </c>
      <c r="E120" s="16" t="s">
        <v>18</v>
      </c>
      <c r="F120" s="16">
        <f>Table1[[#This Row],[Average_Monthly_Income]]-Table1[[#This Row],[Cost_of_Living]]</f>
        <v>792.25</v>
      </c>
      <c r="G120" s="4"/>
    </row>
    <row r="121" spans="1:7" x14ac:dyDescent="0.2">
      <c r="A121" s="39" t="s">
        <v>11</v>
      </c>
      <c r="B121" s="4">
        <v>2013</v>
      </c>
      <c r="C121" s="4">
        <v>7441.76</v>
      </c>
      <c r="D121" s="4">
        <v>5691.41</v>
      </c>
      <c r="E121" s="16" t="s">
        <v>12</v>
      </c>
      <c r="F121" s="16">
        <f>Table1[[#This Row],[Average_Monthly_Income]]-Table1[[#This Row],[Cost_of_Living]]</f>
        <v>1750.3500000000004</v>
      </c>
      <c r="G121" s="4"/>
    </row>
    <row r="122" spans="1:7" x14ac:dyDescent="0.2">
      <c r="A122" s="39" t="s">
        <v>5</v>
      </c>
      <c r="B122" s="4">
        <v>2013</v>
      </c>
      <c r="C122" s="4">
        <v>3001.24</v>
      </c>
      <c r="D122" s="4">
        <v>6153.77</v>
      </c>
      <c r="E122" s="16" t="s">
        <v>6</v>
      </c>
      <c r="F122" s="16">
        <f>Table1[[#This Row],[Average_Monthly_Income]]-Table1[[#This Row],[Cost_of_Living]]</f>
        <v>-3152.5300000000007</v>
      </c>
      <c r="G122" s="4"/>
    </row>
    <row r="123" spans="1:7" x14ac:dyDescent="0.2">
      <c r="A123" s="39" t="s">
        <v>16</v>
      </c>
      <c r="B123" s="4">
        <v>2014</v>
      </c>
      <c r="C123" s="4">
        <v>1650.14</v>
      </c>
      <c r="D123" s="4">
        <v>3019.69</v>
      </c>
      <c r="E123" s="16" t="s">
        <v>8</v>
      </c>
      <c r="F123" s="16">
        <f>Table1[[#This Row],[Average_Monthly_Income]]-Table1[[#This Row],[Cost_of_Living]]</f>
        <v>-1369.55</v>
      </c>
      <c r="G123" s="4"/>
    </row>
    <row r="124" spans="1:7" x14ac:dyDescent="0.2">
      <c r="A124" s="39" t="s">
        <v>16</v>
      </c>
      <c r="B124" s="4">
        <v>2014</v>
      </c>
      <c r="C124" s="4">
        <v>7024.22</v>
      </c>
      <c r="D124" s="4">
        <v>3385.3</v>
      </c>
      <c r="E124" s="16" t="s">
        <v>8</v>
      </c>
      <c r="F124" s="16">
        <f>Table1[[#This Row],[Average_Monthly_Income]]-Table1[[#This Row],[Cost_of_Living]]</f>
        <v>3638.92</v>
      </c>
      <c r="G124" s="4"/>
    </row>
    <row r="125" spans="1:7" x14ac:dyDescent="0.2">
      <c r="A125" s="39" t="s">
        <v>22</v>
      </c>
      <c r="B125" s="4">
        <v>2014</v>
      </c>
      <c r="C125" s="4">
        <v>5330</v>
      </c>
      <c r="D125" s="4">
        <v>6038.94</v>
      </c>
      <c r="E125" s="16" t="s">
        <v>10</v>
      </c>
      <c r="F125" s="16">
        <f>Table1[[#This Row],[Average_Monthly_Income]]-Table1[[#This Row],[Cost_of_Living]]</f>
        <v>-708.9399999999996</v>
      </c>
      <c r="G125" s="4"/>
    </row>
    <row r="126" spans="1:7" x14ac:dyDescent="0.2">
      <c r="A126" s="39" t="s">
        <v>13</v>
      </c>
      <c r="B126" s="4">
        <v>2015</v>
      </c>
      <c r="C126" s="4">
        <v>2434.27</v>
      </c>
      <c r="D126" s="4">
        <v>2656.36</v>
      </c>
      <c r="E126" s="16" t="s">
        <v>14</v>
      </c>
      <c r="F126" s="16">
        <f>Table1[[#This Row],[Average_Monthly_Income]]-Table1[[#This Row],[Cost_of_Living]]</f>
        <v>-222.09000000000015</v>
      </c>
      <c r="G126" s="4"/>
    </row>
    <row r="127" spans="1:7" x14ac:dyDescent="0.2">
      <c r="A127" s="39" t="s">
        <v>5</v>
      </c>
      <c r="B127" s="4">
        <v>2015</v>
      </c>
      <c r="C127" s="4">
        <v>1781.66</v>
      </c>
      <c r="D127" s="4">
        <v>4575.3</v>
      </c>
      <c r="E127" s="16" t="s">
        <v>6</v>
      </c>
      <c r="F127" s="16">
        <f>Table1[[#This Row],[Average_Monthly_Income]]-Table1[[#This Row],[Cost_of_Living]]</f>
        <v>-2793.6400000000003</v>
      </c>
      <c r="G127" s="4"/>
    </row>
    <row r="128" spans="1:7" x14ac:dyDescent="0.2">
      <c r="A128" s="39" t="s">
        <v>13</v>
      </c>
      <c r="B128" s="4">
        <v>2015</v>
      </c>
      <c r="C128" s="4">
        <v>3024.53</v>
      </c>
      <c r="D128" s="4">
        <v>546.02</v>
      </c>
      <c r="E128" s="16" t="s">
        <v>14</v>
      </c>
      <c r="F128" s="16">
        <f>Table1[[#This Row],[Average_Monthly_Income]]-Table1[[#This Row],[Cost_of_Living]]</f>
        <v>2478.5100000000002</v>
      </c>
      <c r="G128" s="4"/>
    </row>
    <row r="129" spans="1:7" x14ac:dyDescent="0.2">
      <c r="A129" s="39" t="s">
        <v>20</v>
      </c>
      <c r="B129" s="4">
        <v>2015</v>
      </c>
      <c r="C129" s="4">
        <v>975.31</v>
      </c>
      <c r="D129" s="4">
        <v>3625.05</v>
      </c>
      <c r="E129" s="16" t="s">
        <v>18</v>
      </c>
      <c r="F129" s="16">
        <f>Table1[[#This Row],[Average_Monthly_Income]]-Table1[[#This Row],[Cost_of_Living]]</f>
        <v>-2649.7400000000002</v>
      </c>
      <c r="G129" s="4"/>
    </row>
    <row r="130" spans="1:7" x14ac:dyDescent="0.2">
      <c r="A130" s="39" t="s">
        <v>20</v>
      </c>
      <c r="B130" s="4">
        <v>2015</v>
      </c>
      <c r="C130" s="4">
        <v>4500.96</v>
      </c>
      <c r="D130" s="4">
        <v>3644.52</v>
      </c>
      <c r="E130" s="16" t="s">
        <v>18</v>
      </c>
      <c r="F130" s="16">
        <f>Table1[[#This Row],[Average_Monthly_Income]]-Table1[[#This Row],[Cost_of_Living]]</f>
        <v>856.44</v>
      </c>
      <c r="G130" s="4"/>
    </row>
    <row r="131" spans="1:7" x14ac:dyDescent="0.2">
      <c r="A131" s="39" t="s">
        <v>22</v>
      </c>
      <c r="B131" s="4">
        <v>2015</v>
      </c>
      <c r="C131" s="4">
        <v>1624.38</v>
      </c>
      <c r="D131" s="4">
        <v>1092.54</v>
      </c>
      <c r="E131" s="16" t="s">
        <v>10</v>
      </c>
      <c r="F131" s="16">
        <f>Table1[[#This Row],[Average_Monthly_Income]]-Table1[[#This Row],[Cost_of_Living]]</f>
        <v>531.84000000000015</v>
      </c>
      <c r="G131" s="4"/>
    </row>
    <row r="132" spans="1:7" x14ac:dyDescent="0.2">
      <c r="A132" s="39" t="s">
        <v>21</v>
      </c>
      <c r="B132" s="4">
        <v>2015</v>
      </c>
      <c r="C132" s="4">
        <v>4896.72</v>
      </c>
      <c r="D132" s="4">
        <v>1275.92</v>
      </c>
      <c r="E132" s="16" t="s">
        <v>18</v>
      </c>
      <c r="F132" s="16">
        <f>Table1[[#This Row],[Average_Monthly_Income]]-Table1[[#This Row],[Cost_of_Living]]</f>
        <v>3620.8</v>
      </c>
      <c r="G132" s="4"/>
    </row>
    <row r="133" spans="1:7" x14ac:dyDescent="0.2">
      <c r="A133" s="39" t="s">
        <v>11</v>
      </c>
      <c r="B133" s="4">
        <v>2015</v>
      </c>
      <c r="C133" s="4">
        <v>1644.04</v>
      </c>
      <c r="D133" s="4">
        <v>6579</v>
      </c>
      <c r="E133" s="16" t="s">
        <v>12</v>
      </c>
      <c r="F133" s="16">
        <f>Table1[[#This Row],[Average_Monthly_Income]]-Table1[[#This Row],[Cost_of_Living]]</f>
        <v>-4934.96</v>
      </c>
      <c r="G133" s="4"/>
    </row>
    <row r="134" spans="1:7" x14ac:dyDescent="0.2">
      <c r="A134" s="39" t="s">
        <v>13</v>
      </c>
      <c r="B134" s="4">
        <v>2015</v>
      </c>
      <c r="C134" s="4">
        <v>4237.76</v>
      </c>
      <c r="D134" s="4">
        <v>6833.63</v>
      </c>
      <c r="E134" s="16" t="s">
        <v>14</v>
      </c>
      <c r="F134" s="16">
        <f>Table1[[#This Row],[Average_Monthly_Income]]-Table1[[#This Row],[Cost_of_Living]]</f>
        <v>-2595.87</v>
      </c>
      <c r="G134" s="4"/>
    </row>
    <row r="135" spans="1:7" x14ac:dyDescent="0.2">
      <c r="A135" s="39" t="s">
        <v>21</v>
      </c>
      <c r="B135" s="4">
        <v>2015</v>
      </c>
      <c r="C135" s="4">
        <v>690.4</v>
      </c>
      <c r="D135" s="4">
        <v>2031.73</v>
      </c>
      <c r="E135" s="16" t="s">
        <v>18</v>
      </c>
      <c r="F135" s="16">
        <f>Table1[[#This Row],[Average_Monthly_Income]]-Table1[[#This Row],[Cost_of_Living]]</f>
        <v>-1341.33</v>
      </c>
      <c r="G135" s="4"/>
    </row>
    <row r="136" spans="1:7" x14ac:dyDescent="0.2">
      <c r="A136" s="39" t="s">
        <v>20</v>
      </c>
      <c r="B136" s="4">
        <v>2016</v>
      </c>
      <c r="C136" s="4">
        <v>6574.06</v>
      </c>
      <c r="D136" s="4">
        <v>3342.96</v>
      </c>
      <c r="E136" s="16" t="s">
        <v>18</v>
      </c>
      <c r="F136" s="16">
        <f>Table1[[#This Row],[Average_Monthly_Income]]-Table1[[#This Row],[Cost_of_Living]]</f>
        <v>3231.1000000000004</v>
      </c>
      <c r="G136" s="4"/>
    </row>
    <row r="137" spans="1:7" x14ac:dyDescent="0.2">
      <c r="A137" s="39" t="s">
        <v>15</v>
      </c>
      <c r="B137" s="4">
        <v>2016</v>
      </c>
      <c r="C137" s="4">
        <v>3191.23</v>
      </c>
      <c r="D137" s="4">
        <v>4701</v>
      </c>
      <c r="E137" s="16" t="s">
        <v>8</v>
      </c>
      <c r="F137" s="16">
        <f>Table1[[#This Row],[Average_Monthly_Income]]-Table1[[#This Row],[Cost_of_Living]]</f>
        <v>-1509.77</v>
      </c>
      <c r="G137" s="4"/>
    </row>
    <row r="138" spans="1:7" x14ac:dyDescent="0.2">
      <c r="A138" s="39" t="s">
        <v>19</v>
      </c>
      <c r="B138" s="4">
        <v>2016</v>
      </c>
      <c r="C138" s="4">
        <v>6455.19</v>
      </c>
      <c r="D138" s="4">
        <v>3240.02</v>
      </c>
      <c r="E138" s="16" t="s">
        <v>10</v>
      </c>
      <c r="F138" s="16">
        <f>Table1[[#This Row],[Average_Monthly_Income]]-Table1[[#This Row],[Cost_of_Living]]</f>
        <v>3215.1699999999996</v>
      </c>
      <c r="G138" s="4"/>
    </row>
    <row r="139" spans="1:7" x14ac:dyDescent="0.2">
      <c r="A139" s="39" t="s">
        <v>7</v>
      </c>
      <c r="B139" s="4">
        <v>2016</v>
      </c>
      <c r="C139" s="4">
        <v>1637.56</v>
      </c>
      <c r="D139" s="4">
        <v>2175.36</v>
      </c>
      <c r="E139" s="16" t="s">
        <v>8</v>
      </c>
      <c r="F139" s="16">
        <f>Table1[[#This Row],[Average_Monthly_Income]]-Table1[[#This Row],[Cost_of_Living]]</f>
        <v>-537.80000000000018</v>
      </c>
      <c r="G139" s="4"/>
    </row>
    <row r="140" spans="1:7" x14ac:dyDescent="0.2">
      <c r="A140" s="39" t="s">
        <v>13</v>
      </c>
      <c r="B140" s="4">
        <v>2016</v>
      </c>
      <c r="C140" s="4">
        <v>6218.44</v>
      </c>
      <c r="D140" s="4">
        <v>2990.46</v>
      </c>
      <c r="E140" s="16" t="s">
        <v>14</v>
      </c>
      <c r="F140" s="16">
        <f>Table1[[#This Row],[Average_Monthly_Income]]-Table1[[#This Row],[Cost_of_Living]]</f>
        <v>3227.9799999999996</v>
      </c>
      <c r="G140" s="4"/>
    </row>
    <row r="141" spans="1:7" x14ac:dyDescent="0.2">
      <c r="A141" s="39" t="s">
        <v>20</v>
      </c>
      <c r="B141" s="4">
        <v>2016</v>
      </c>
      <c r="C141" s="4">
        <v>1456.16</v>
      </c>
      <c r="D141" s="4">
        <v>5547.02</v>
      </c>
      <c r="E141" s="16" t="s">
        <v>18</v>
      </c>
      <c r="F141" s="16">
        <f>Table1[[#This Row],[Average_Monthly_Income]]-Table1[[#This Row],[Cost_of_Living]]</f>
        <v>-4090.8600000000006</v>
      </c>
      <c r="G141" s="4"/>
    </row>
    <row r="142" spans="1:7" x14ac:dyDescent="0.2">
      <c r="A142" s="39" t="s">
        <v>20</v>
      </c>
      <c r="B142" s="4">
        <v>2016</v>
      </c>
      <c r="C142" s="4">
        <v>3479.65</v>
      </c>
      <c r="D142" s="4">
        <v>661.48</v>
      </c>
      <c r="E142" s="16" t="s">
        <v>18</v>
      </c>
      <c r="F142" s="16">
        <f>Table1[[#This Row],[Average_Monthly_Income]]-Table1[[#This Row],[Cost_of_Living]]</f>
        <v>2818.17</v>
      </c>
      <c r="G142" s="4"/>
    </row>
    <row r="143" spans="1:7" x14ac:dyDescent="0.2">
      <c r="A143" s="39" t="s">
        <v>22</v>
      </c>
      <c r="B143" s="4">
        <v>2016</v>
      </c>
      <c r="C143" s="4">
        <v>5308.61</v>
      </c>
      <c r="D143" s="4">
        <v>3692.66</v>
      </c>
      <c r="E143" s="16" t="s">
        <v>10</v>
      </c>
      <c r="F143" s="16">
        <f>Table1[[#This Row],[Average_Monthly_Income]]-Table1[[#This Row],[Cost_of_Living]]</f>
        <v>1615.9499999999998</v>
      </c>
      <c r="G143" s="4"/>
    </row>
    <row r="144" spans="1:7" x14ac:dyDescent="0.2">
      <c r="A144" s="39" t="s">
        <v>21</v>
      </c>
      <c r="B144" s="4">
        <v>2016</v>
      </c>
      <c r="C144" s="4">
        <v>3013.98</v>
      </c>
      <c r="D144" s="4">
        <v>798.32</v>
      </c>
      <c r="E144" s="16" t="s">
        <v>18</v>
      </c>
      <c r="F144" s="16">
        <f>Table1[[#This Row],[Average_Monthly_Income]]-Table1[[#This Row],[Cost_of_Living]]</f>
        <v>2215.66</v>
      </c>
      <c r="G144" s="4"/>
    </row>
    <row r="145" spans="1:7" x14ac:dyDescent="0.2">
      <c r="A145" s="39" t="s">
        <v>5</v>
      </c>
      <c r="B145" s="4">
        <v>2016</v>
      </c>
      <c r="C145" s="4">
        <v>5241.9799999999996</v>
      </c>
      <c r="D145" s="4">
        <v>602.30999999999995</v>
      </c>
      <c r="E145" s="16" t="s">
        <v>6</v>
      </c>
      <c r="F145" s="16">
        <f>Table1[[#This Row],[Average_Monthly_Income]]-Table1[[#This Row],[Cost_of_Living]]</f>
        <v>4639.67</v>
      </c>
      <c r="G145" s="4"/>
    </row>
    <row r="146" spans="1:7" x14ac:dyDescent="0.2">
      <c r="A146" s="39" t="s">
        <v>9</v>
      </c>
      <c r="B146" s="4">
        <v>2016</v>
      </c>
      <c r="C146" s="4">
        <v>3805.72</v>
      </c>
      <c r="D146" s="4">
        <v>4568.3</v>
      </c>
      <c r="E146" s="16" t="s">
        <v>10</v>
      </c>
      <c r="F146" s="16">
        <f>Table1[[#This Row],[Average_Monthly_Income]]-Table1[[#This Row],[Cost_of_Living]]</f>
        <v>-762.58000000000038</v>
      </c>
      <c r="G146" s="4"/>
    </row>
    <row r="147" spans="1:7" x14ac:dyDescent="0.2">
      <c r="A147" s="39" t="s">
        <v>9</v>
      </c>
      <c r="B147" s="4">
        <v>2017</v>
      </c>
      <c r="C147" s="4">
        <v>4967.29</v>
      </c>
      <c r="D147" s="4">
        <v>3379.15</v>
      </c>
      <c r="E147" s="16" t="s">
        <v>10</v>
      </c>
      <c r="F147" s="16">
        <f>Table1[[#This Row],[Average_Monthly_Income]]-Table1[[#This Row],[Cost_of_Living]]</f>
        <v>1588.1399999999999</v>
      </c>
      <c r="G147" s="4"/>
    </row>
    <row r="148" spans="1:7" x14ac:dyDescent="0.2">
      <c r="A148" s="39" t="s">
        <v>19</v>
      </c>
      <c r="B148" s="4">
        <v>2017</v>
      </c>
      <c r="C148" s="4">
        <v>6609.31</v>
      </c>
      <c r="D148" s="4">
        <v>1917.7</v>
      </c>
      <c r="E148" s="16" t="s">
        <v>10</v>
      </c>
      <c r="F148" s="16">
        <f>Table1[[#This Row],[Average_Monthly_Income]]-Table1[[#This Row],[Cost_of_Living]]</f>
        <v>4691.6100000000006</v>
      </c>
      <c r="G148" s="4"/>
    </row>
    <row r="149" spans="1:7" x14ac:dyDescent="0.2">
      <c r="A149" s="39" t="s">
        <v>16</v>
      </c>
      <c r="B149" s="4">
        <v>2017</v>
      </c>
      <c r="C149" s="4">
        <v>4270.3999999999996</v>
      </c>
      <c r="D149" s="4">
        <v>5975.57</v>
      </c>
      <c r="E149" s="16" t="s">
        <v>8</v>
      </c>
      <c r="F149" s="16">
        <f>Table1[[#This Row],[Average_Monthly_Income]]-Table1[[#This Row],[Cost_of_Living]]</f>
        <v>-1705.17</v>
      </c>
      <c r="G149" s="4"/>
    </row>
    <row r="150" spans="1:7" x14ac:dyDescent="0.2">
      <c r="A150" s="39" t="s">
        <v>15</v>
      </c>
      <c r="B150" s="4">
        <v>2017</v>
      </c>
      <c r="C150" s="4">
        <v>6414.48</v>
      </c>
      <c r="D150" s="4">
        <v>4241.01</v>
      </c>
      <c r="E150" s="16" t="s">
        <v>8</v>
      </c>
      <c r="F150" s="16">
        <f>Table1[[#This Row],[Average_Monthly_Income]]-Table1[[#This Row],[Cost_of_Living]]</f>
        <v>2173.4699999999993</v>
      </c>
      <c r="G150" s="4"/>
    </row>
    <row r="151" spans="1:7" x14ac:dyDescent="0.2">
      <c r="A151" s="39" t="s">
        <v>9</v>
      </c>
      <c r="B151" s="4">
        <v>2017</v>
      </c>
      <c r="C151" s="4">
        <v>7406.31</v>
      </c>
      <c r="D151" s="4">
        <v>5794.17</v>
      </c>
      <c r="E151" s="16" t="s">
        <v>10</v>
      </c>
      <c r="F151" s="16">
        <f>Table1[[#This Row],[Average_Monthly_Income]]-Table1[[#This Row],[Cost_of_Living]]</f>
        <v>1612.1400000000003</v>
      </c>
      <c r="G151" s="4"/>
    </row>
    <row r="152" spans="1:7" x14ac:dyDescent="0.2">
      <c r="A152" s="39" t="s">
        <v>15</v>
      </c>
      <c r="B152" s="4">
        <v>2017</v>
      </c>
      <c r="C152" s="4">
        <v>3102.15</v>
      </c>
      <c r="D152" s="4">
        <v>5612.01</v>
      </c>
      <c r="E152" s="16" t="s">
        <v>8</v>
      </c>
      <c r="F152" s="16">
        <f>Table1[[#This Row],[Average_Monthly_Income]]-Table1[[#This Row],[Cost_of_Living]]</f>
        <v>-2509.86</v>
      </c>
      <c r="G152" s="4"/>
    </row>
    <row r="153" spans="1:7" x14ac:dyDescent="0.2">
      <c r="A153" s="39" t="s">
        <v>15</v>
      </c>
      <c r="B153" s="4">
        <v>2017</v>
      </c>
      <c r="C153" s="4">
        <v>1930.16</v>
      </c>
      <c r="D153" s="4">
        <v>6164.59</v>
      </c>
      <c r="E153" s="16" t="s">
        <v>8</v>
      </c>
      <c r="F153" s="16">
        <f>Table1[[#This Row],[Average_Monthly_Income]]-Table1[[#This Row],[Cost_of_Living]]</f>
        <v>-4234.43</v>
      </c>
      <c r="G153" s="4"/>
    </row>
    <row r="154" spans="1:7" x14ac:dyDescent="0.2">
      <c r="A154" s="39" t="s">
        <v>19</v>
      </c>
      <c r="B154" s="4">
        <v>2018</v>
      </c>
      <c r="C154" s="4">
        <v>2664.73</v>
      </c>
      <c r="D154" s="4">
        <v>6825.03</v>
      </c>
      <c r="E154" s="16" t="s">
        <v>10</v>
      </c>
      <c r="F154" s="16">
        <f>Table1[[#This Row],[Average_Monthly_Income]]-Table1[[#This Row],[Cost_of_Living]]</f>
        <v>-4160.2999999999993</v>
      </c>
      <c r="G154" s="4"/>
    </row>
    <row r="155" spans="1:7" x14ac:dyDescent="0.2">
      <c r="A155" s="39" t="s">
        <v>16</v>
      </c>
      <c r="B155" s="4">
        <v>2018</v>
      </c>
      <c r="C155" s="4">
        <v>7471.47</v>
      </c>
      <c r="D155" s="4">
        <v>1857.08</v>
      </c>
      <c r="E155" s="16" t="s">
        <v>8</v>
      </c>
      <c r="F155" s="16">
        <f>Table1[[#This Row],[Average_Monthly_Income]]-Table1[[#This Row],[Cost_of_Living]]</f>
        <v>5614.39</v>
      </c>
      <c r="G155" s="4"/>
    </row>
    <row r="156" spans="1:7" x14ac:dyDescent="0.2">
      <c r="A156" s="39" t="s">
        <v>20</v>
      </c>
      <c r="B156" s="4">
        <v>2018</v>
      </c>
      <c r="C156" s="4">
        <v>1731.99</v>
      </c>
      <c r="D156" s="4">
        <v>6301.05</v>
      </c>
      <c r="E156" s="16" t="s">
        <v>18</v>
      </c>
      <c r="F156" s="16">
        <f>Table1[[#This Row],[Average_Monthly_Income]]-Table1[[#This Row],[Cost_of_Living]]</f>
        <v>-4569.0600000000004</v>
      </c>
      <c r="G156" s="4"/>
    </row>
    <row r="157" spans="1:7" x14ac:dyDescent="0.2">
      <c r="A157" s="39" t="s">
        <v>20</v>
      </c>
      <c r="B157" s="4">
        <v>2018</v>
      </c>
      <c r="C157" s="4">
        <v>3793.51</v>
      </c>
      <c r="D157" s="4">
        <v>6790.08</v>
      </c>
      <c r="E157" s="16" t="s">
        <v>18</v>
      </c>
      <c r="F157" s="16">
        <f>Table1[[#This Row],[Average_Monthly_Income]]-Table1[[#This Row],[Cost_of_Living]]</f>
        <v>-2996.5699999999997</v>
      </c>
      <c r="G157" s="4"/>
    </row>
    <row r="158" spans="1:7" x14ac:dyDescent="0.2">
      <c r="A158" s="39" t="s">
        <v>5</v>
      </c>
      <c r="B158" s="4">
        <v>2018</v>
      </c>
      <c r="C158" s="4">
        <v>5900.27</v>
      </c>
      <c r="D158" s="4">
        <v>1340.47</v>
      </c>
      <c r="E158" s="16" t="s">
        <v>6</v>
      </c>
      <c r="F158" s="16">
        <f>Table1[[#This Row],[Average_Monthly_Income]]-Table1[[#This Row],[Cost_of_Living]]</f>
        <v>4559.8</v>
      </c>
      <c r="G158" s="4"/>
    </row>
    <row r="159" spans="1:7" x14ac:dyDescent="0.2">
      <c r="A159" s="39" t="s">
        <v>11</v>
      </c>
      <c r="B159" s="4">
        <v>2018</v>
      </c>
      <c r="C159" s="4">
        <v>3092.72</v>
      </c>
      <c r="D159" s="4">
        <v>464.49</v>
      </c>
      <c r="E159" s="16" t="s">
        <v>12</v>
      </c>
      <c r="F159" s="16">
        <f>Table1[[#This Row],[Average_Monthly_Income]]-Table1[[#This Row],[Cost_of_Living]]</f>
        <v>2628.2299999999996</v>
      </c>
      <c r="G159" s="4"/>
    </row>
    <row r="160" spans="1:7" x14ac:dyDescent="0.2">
      <c r="A160" s="39" t="s">
        <v>16</v>
      </c>
      <c r="B160" s="4">
        <v>2018</v>
      </c>
      <c r="C160" s="4">
        <v>7604.63</v>
      </c>
      <c r="D160" s="4">
        <v>918.62</v>
      </c>
      <c r="E160" s="16" t="s">
        <v>8</v>
      </c>
      <c r="F160" s="16">
        <f>Table1[[#This Row],[Average_Monthly_Income]]-Table1[[#This Row],[Cost_of_Living]]</f>
        <v>6686.01</v>
      </c>
      <c r="G160" s="4"/>
    </row>
    <row r="161" spans="1:7" x14ac:dyDescent="0.2">
      <c r="A161" s="39" t="s">
        <v>7</v>
      </c>
      <c r="B161" s="4">
        <v>2018</v>
      </c>
      <c r="C161" s="4">
        <v>1556.43</v>
      </c>
      <c r="D161" s="4">
        <v>1907.8</v>
      </c>
      <c r="E161" s="16" t="s">
        <v>8</v>
      </c>
      <c r="F161" s="16">
        <f>Table1[[#This Row],[Average_Monthly_Income]]-Table1[[#This Row],[Cost_of_Living]]</f>
        <v>-351.36999999999989</v>
      </c>
      <c r="G161" s="4"/>
    </row>
    <row r="162" spans="1:7" x14ac:dyDescent="0.2">
      <c r="A162" s="39" t="s">
        <v>15</v>
      </c>
      <c r="B162" s="4">
        <v>2018</v>
      </c>
      <c r="C162" s="4">
        <v>3609.68</v>
      </c>
      <c r="D162" s="4">
        <v>3208.26</v>
      </c>
      <c r="E162" s="16" t="s">
        <v>8</v>
      </c>
      <c r="F162" s="16">
        <f>Table1[[#This Row],[Average_Monthly_Income]]-Table1[[#This Row],[Cost_of_Living]]</f>
        <v>401.41999999999962</v>
      </c>
      <c r="G162" s="4"/>
    </row>
    <row r="163" spans="1:7" x14ac:dyDescent="0.2">
      <c r="A163" s="39" t="s">
        <v>20</v>
      </c>
      <c r="B163" s="4">
        <v>2018</v>
      </c>
      <c r="C163" s="4">
        <v>1003.07</v>
      </c>
      <c r="D163" s="4">
        <v>6122.41</v>
      </c>
      <c r="E163" s="16" t="s">
        <v>18</v>
      </c>
      <c r="F163" s="16">
        <f>Table1[[#This Row],[Average_Monthly_Income]]-Table1[[#This Row],[Cost_of_Living]]</f>
        <v>-5119.34</v>
      </c>
      <c r="G163" s="4"/>
    </row>
    <row r="164" spans="1:7" x14ac:dyDescent="0.2">
      <c r="A164" s="39" t="s">
        <v>7</v>
      </c>
      <c r="B164" s="4">
        <v>2019</v>
      </c>
      <c r="C164" s="4">
        <v>7771.03</v>
      </c>
      <c r="D164" s="4">
        <v>5422.78</v>
      </c>
      <c r="E164" s="16" t="s">
        <v>8</v>
      </c>
      <c r="F164" s="16">
        <f>Table1[[#This Row],[Average_Monthly_Income]]-Table1[[#This Row],[Cost_of_Living]]</f>
        <v>2348.25</v>
      </c>
      <c r="G164" s="4"/>
    </row>
    <row r="165" spans="1:7" x14ac:dyDescent="0.2">
      <c r="A165" s="39" t="s">
        <v>17</v>
      </c>
      <c r="B165" s="4">
        <v>2019</v>
      </c>
      <c r="C165" s="4">
        <v>1361.28</v>
      </c>
      <c r="D165" s="4">
        <v>701.9</v>
      </c>
      <c r="E165" s="16" t="s">
        <v>18</v>
      </c>
      <c r="F165" s="16">
        <f>Table1[[#This Row],[Average_Monthly_Income]]-Table1[[#This Row],[Cost_of_Living]]</f>
        <v>659.38</v>
      </c>
      <c r="G165" s="4"/>
    </row>
    <row r="166" spans="1:7" x14ac:dyDescent="0.2">
      <c r="A166" s="39" t="s">
        <v>22</v>
      </c>
      <c r="B166" s="4">
        <v>2019</v>
      </c>
      <c r="C166" s="4">
        <v>2409.8000000000002</v>
      </c>
      <c r="D166" s="4">
        <v>2205.94</v>
      </c>
      <c r="E166" s="16" t="s">
        <v>10</v>
      </c>
      <c r="F166" s="16">
        <f>Table1[[#This Row],[Average_Monthly_Income]]-Table1[[#This Row],[Cost_of_Living]]</f>
        <v>203.86000000000013</v>
      </c>
      <c r="G166" s="4"/>
    </row>
    <row r="167" spans="1:7" x14ac:dyDescent="0.2">
      <c r="A167" s="39" t="s">
        <v>20</v>
      </c>
      <c r="B167" s="4">
        <v>2019</v>
      </c>
      <c r="C167" s="4">
        <v>6479.72</v>
      </c>
      <c r="D167" s="4">
        <v>3571.35</v>
      </c>
      <c r="E167" s="16" t="s">
        <v>18</v>
      </c>
      <c r="F167" s="16">
        <f>Table1[[#This Row],[Average_Monthly_Income]]-Table1[[#This Row],[Cost_of_Living]]</f>
        <v>2908.3700000000003</v>
      </c>
      <c r="G167" s="4"/>
    </row>
    <row r="168" spans="1:7" x14ac:dyDescent="0.2">
      <c r="A168" s="39" t="s">
        <v>11</v>
      </c>
      <c r="B168" s="4">
        <v>2019</v>
      </c>
      <c r="C168" s="4">
        <v>3965.04</v>
      </c>
      <c r="D168" s="4">
        <v>619.14</v>
      </c>
      <c r="E168" s="16" t="s">
        <v>12</v>
      </c>
      <c r="F168" s="16">
        <f>Table1[[#This Row],[Average_Monthly_Income]]-Table1[[#This Row],[Cost_of_Living]]</f>
        <v>3345.9</v>
      </c>
      <c r="G168" s="4"/>
    </row>
    <row r="169" spans="1:7" x14ac:dyDescent="0.2">
      <c r="A169" s="39" t="s">
        <v>15</v>
      </c>
      <c r="B169" s="4">
        <v>2019</v>
      </c>
      <c r="C169" s="4">
        <v>7490.89</v>
      </c>
      <c r="D169" s="4">
        <v>1505.39</v>
      </c>
      <c r="E169" s="16" t="s">
        <v>8</v>
      </c>
      <c r="F169" s="16">
        <f>Table1[[#This Row],[Average_Monthly_Income]]-Table1[[#This Row],[Cost_of_Living]]</f>
        <v>5985.5</v>
      </c>
      <c r="G169" s="4"/>
    </row>
    <row r="170" spans="1:7" x14ac:dyDescent="0.2">
      <c r="A170" s="39" t="s">
        <v>7</v>
      </c>
      <c r="B170" s="4">
        <v>2019</v>
      </c>
      <c r="C170" s="4">
        <v>4854.41</v>
      </c>
      <c r="D170" s="4">
        <v>876.51</v>
      </c>
      <c r="E170" s="16" t="s">
        <v>8</v>
      </c>
      <c r="F170" s="16">
        <f>Table1[[#This Row],[Average_Monthly_Income]]-Table1[[#This Row],[Cost_of_Living]]</f>
        <v>3977.8999999999996</v>
      </c>
      <c r="G170" s="4"/>
    </row>
    <row r="171" spans="1:7" x14ac:dyDescent="0.2">
      <c r="A171" s="39" t="s">
        <v>5</v>
      </c>
      <c r="B171" s="4">
        <v>2019</v>
      </c>
      <c r="C171" s="4">
        <v>774.12</v>
      </c>
      <c r="D171" s="4">
        <v>6344.63</v>
      </c>
      <c r="E171" s="16" t="s">
        <v>6</v>
      </c>
      <c r="F171" s="16">
        <f>Table1[[#This Row],[Average_Monthly_Income]]-Table1[[#This Row],[Cost_of_Living]]</f>
        <v>-5570.51</v>
      </c>
      <c r="G171" s="4"/>
    </row>
    <row r="172" spans="1:7" x14ac:dyDescent="0.2">
      <c r="A172" s="39" t="s">
        <v>15</v>
      </c>
      <c r="B172" s="4">
        <v>2020</v>
      </c>
      <c r="C172" s="4">
        <v>5514.82</v>
      </c>
      <c r="D172" s="4">
        <v>6551.39</v>
      </c>
      <c r="E172" s="16" t="s">
        <v>8</v>
      </c>
      <c r="F172" s="16">
        <f>Table1[[#This Row],[Average_Monthly_Income]]-Table1[[#This Row],[Cost_of_Living]]</f>
        <v>-1036.5700000000006</v>
      </c>
      <c r="G172" s="4"/>
    </row>
    <row r="173" spans="1:7" x14ac:dyDescent="0.2">
      <c r="A173" s="39" t="s">
        <v>11</v>
      </c>
      <c r="B173" s="4">
        <v>2020</v>
      </c>
      <c r="C173" s="4">
        <v>6107.07</v>
      </c>
      <c r="D173" s="4">
        <v>5488.08</v>
      </c>
      <c r="E173" s="16" t="s">
        <v>12</v>
      </c>
      <c r="F173" s="16">
        <f>Table1[[#This Row],[Average_Monthly_Income]]-Table1[[#This Row],[Cost_of_Living]]</f>
        <v>618.98999999999978</v>
      </c>
      <c r="G173" s="4"/>
    </row>
    <row r="174" spans="1:7" x14ac:dyDescent="0.2">
      <c r="A174" s="39" t="s">
        <v>7</v>
      </c>
      <c r="B174" s="4">
        <v>2020</v>
      </c>
      <c r="C174" s="4">
        <v>7298.54</v>
      </c>
      <c r="D174" s="4">
        <v>6477.6</v>
      </c>
      <c r="E174" s="16" t="s">
        <v>8</v>
      </c>
      <c r="F174" s="16">
        <f>Table1[[#This Row],[Average_Monthly_Income]]-Table1[[#This Row],[Cost_of_Living]]</f>
        <v>820.9399999999996</v>
      </c>
      <c r="G174" s="4"/>
    </row>
    <row r="175" spans="1:7" x14ac:dyDescent="0.2">
      <c r="A175" s="39" t="s">
        <v>9</v>
      </c>
      <c r="B175" s="4">
        <v>2020</v>
      </c>
      <c r="C175" s="4">
        <v>4294.17</v>
      </c>
      <c r="D175" s="4">
        <v>4145.7700000000004</v>
      </c>
      <c r="E175" s="16" t="s">
        <v>10</v>
      </c>
      <c r="F175" s="16">
        <f>Table1[[#This Row],[Average_Monthly_Income]]-Table1[[#This Row],[Cost_of_Living]]</f>
        <v>148.39999999999964</v>
      </c>
      <c r="G175" s="4"/>
    </row>
    <row r="176" spans="1:7" x14ac:dyDescent="0.2">
      <c r="A176" s="39" t="s">
        <v>22</v>
      </c>
      <c r="B176" s="4">
        <v>2020</v>
      </c>
      <c r="C176" s="4">
        <v>4738.5</v>
      </c>
      <c r="D176" s="4">
        <v>1090.1500000000001</v>
      </c>
      <c r="E176" s="16" t="s">
        <v>10</v>
      </c>
      <c r="F176" s="16">
        <f>Table1[[#This Row],[Average_Monthly_Income]]-Table1[[#This Row],[Cost_of_Living]]</f>
        <v>3648.35</v>
      </c>
      <c r="G176" s="4"/>
    </row>
    <row r="177" spans="1:7" x14ac:dyDescent="0.2">
      <c r="A177" s="39" t="s">
        <v>5</v>
      </c>
      <c r="B177" s="4">
        <v>2020</v>
      </c>
      <c r="C177" s="4">
        <v>7418.75</v>
      </c>
      <c r="D177" s="4">
        <v>5062.74</v>
      </c>
      <c r="E177" s="16" t="s">
        <v>6</v>
      </c>
      <c r="F177" s="16">
        <f>Table1[[#This Row],[Average_Monthly_Income]]-Table1[[#This Row],[Cost_of_Living]]</f>
        <v>2356.0100000000002</v>
      </c>
      <c r="G177" s="4"/>
    </row>
    <row r="178" spans="1:7" x14ac:dyDescent="0.2">
      <c r="A178" s="39" t="s">
        <v>21</v>
      </c>
      <c r="B178" s="4">
        <v>2020</v>
      </c>
      <c r="C178" s="4">
        <v>3680.98</v>
      </c>
      <c r="D178" s="4">
        <v>5079.8</v>
      </c>
      <c r="E178" s="16" t="s">
        <v>18</v>
      </c>
      <c r="F178" s="16">
        <f>Table1[[#This Row],[Average_Monthly_Income]]-Table1[[#This Row],[Cost_of_Living]]</f>
        <v>-1398.8200000000002</v>
      </c>
      <c r="G178" s="4"/>
    </row>
    <row r="179" spans="1:7" x14ac:dyDescent="0.2">
      <c r="A179" s="39" t="s">
        <v>16</v>
      </c>
      <c r="B179" s="4">
        <v>2020</v>
      </c>
      <c r="C179" s="4">
        <v>1864.46</v>
      </c>
      <c r="D179" s="4">
        <v>6399.61</v>
      </c>
      <c r="E179" s="16" t="s">
        <v>8</v>
      </c>
      <c r="F179" s="16">
        <f>Table1[[#This Row],[Average_Monthly_Income]]-Table1[[#This Row],[Cost_of_Living]]</f>
        <v>-4535.1499999999996</v>
      </c>
      <c r="G179" s="4"/>
    </row>
    <row r="180" spans="1:7" x14ac:dyDescent="0.2">
      <c r="A180" s="39" t="s">
        <v>13</v>
      </c>
      <c r="B180" s="4">
        <v>2020</v>
      </c>
      <c r="C180" s="4">
        <v>3565.51</v>
      </c>
      <c r="D180" s="4">
        <v>3649.03</v>
      </c>
      <c r="E180" s="16" t="s">
        <v>14</v>
      </c>
      <c r="F180" s="16">
        <f>Table1[[#This Row],[Average_Monthly_Income]]-Table1[[#This Row],[Cost_of_Living]]</f>
        <v>-83.519999999999982</v>
      </c>
      <c r="G180" s="4"/>
    </row>
    <row r="181" spans="1:7" x14ac:dyDescent="0.2">
      <c r="A181" s="39" t="s">
        <v>7</v>
      </c>
      <c r="B181" s="4">
        <v>2021</v>
      </c>
      <c r="C181" s="4">
        <v>2927.59</v>
      </c>
      <c r="D181" s="4">
        <v>844.51</v>
      </c>
      <c r="E181" s="16" t="s">
        <v>8</v>
      </c>
      <c r="F181" s="16">
        <f>Table1[[#This Row],[Average_Monthly_Income]]-Table1[[#This Row],[Cost_of_Living]]</f>
        <v>2083.08</v>
      </c>
      <c r="G181" s="4"/>
    </row>
    <row r="182" spans="1:7" x14ac:dyDescent="0.2">
      <c r="A182" s="39" t="s">
        <v>21</v>
      </c>
      <c r="B182" s="4">
        <v>2021</v>
      </c>
      <c r="C182" s="4">
        <v>2219.39</v>
      </c>
      <c r="D182" s="4">
        <v>1997.5</v>
      </c>
      <c r="E182" s="16" t="s">
        <v>18</v>
      </c>
      <c r="F182" s="16">
        <f>Table1[[#This Row],[Average_Monthly_Income]]-Table1[[#This Row],[Cost_of_Living]]</f>
        <v>221.88999999999987</v>
      </c>
      <c r="G182" s="4"/>
    </row>
    <row r="183" spans="1:7" x14ac:dyDescent="0.2">
      <c r="A183" s="39" t="s">
        <v>9</v>
      </c>
      <c r="B183" s="4">
        <v>2021</v>
      </c>
      <c r="C183" s="4">
        <v>3217.95</v>
      </c>
      <c r="D183" s="4">
        <v>4889.51</v>
      </c>
      <c r="E183" s="16" t="s">
        <v>10</v>
      </c>
      <c r="F183" s="16">
        <f>Table1[[#This Row],[Average_Monthly_Income]]-Table1[[#This Row],[Cost_of_Living]]</f>
        <v>-1671.5600000000004</v>
      </c>
      <c r="G183" s="4"/>
    </row>
    <row r="184" spans="1:7" x14ac:dyDescent="0.2">
      <c r="A184" s="39" t="s">
        <v>13</v>
      </c>
      <c r="B184" s="4">
        <v>2021</v>
      </c>
      <c r="C184" s="4">
        <v>7976.56</v>
      </c>
      <c r="D184" s="4">
        <v>2848.86</v>
      </c>
      <c r="E184" s="16" t="s">
        <v>14</v>
      </c>
      <c r="F184" s="16">
        <f>Table1[[#This Row],[Average_Monthly_Income]]-Table1[[#This Row],[Cost_of_Living]]</f>
        <v>5127.7000000000007</v>
      </c>
      <c r="G184" s="4"/>
    </row>
    <row r="185" spans="1:7" x14ac:dyDescent="0.2">
      <c r="A185" s="39" t="s">
        <v>16</v>
      </c>
      <c r="B185" s="4">
        <v>2021</v>
      </c>
      <c r="C185" s="4">
        <v>1671.14</v>
      </c>
      <c r="D185" s="4">
        <v>6146.95</v>
      </c>
      <c r="E185" s="16" t="s">
        <v>8</v>
      </c>
      <c r="F185" s="16">
        <f>Table1[[#This Row],[Average_Monthly_Income]]-Table1[[#This Row],[Cost_of_Living]]</f>
        <v>-4475.8099999999995</v>
      </c>
      <c r="G185" s="4"/>
    </row>
    <row r="186" spans="1:7" x14ac:dyDescent="0.2">
      <c r="A186" s="39" t="s">
        <v>11</v>
      </c>
      <c r="B186" s="4">
        <v>2022</v>
      </c>
      <c r="C186" s="4">
        <v>6271.2</v>
      </c>
      <c r="D186" s="4">
        <v>2386.36</v>
      </c>
      <c r="E186" s="16" t="s">
        <v>12</v>
      </c>
      <c r="F186" s="16">
        <f>Table1[[#This Row],[Average_Monthly_Income]]-Table1[[#This Row],[Cost_of_Living]]</f>
        <v>3884.8399999999997</v>
      </c>
      <c r="G186" s="4"/>
    </row>
    <row r="187" spans="1:7" x14ac:dyDescent="0.2">
      <c r="A187" s="39" t="s">
        <v>15</v>
      </c>
      <c r="B187" s="4">
        <v>2022</v>
      </c>
      <c r="C187" s="4">
        <v>7924.7</v>
      </c>
      <c r="D187" s="4">
        <v>5484.69</v>
      </c>
      <c r="E187" s="16" t="s">
        <v>8</v>
      </c>
      <c r="F187" s="16">
        <f>Table1[[#This Row],[Average_Monthly_Income]]-Table1[[#This Row],[Cost_of_Living]]</f>
        <v>2440.0100000000002</v>
      </c>
      <c r="G187" s="4"/>
    </row>
    <row r="188" spans="1:7" x14ac:dyDescent="0.2">
      <c r="A188" s="39" t="s">
        <v>22</v>
      </c>
      <c r="B188" s="4">
        <v>2022</v>
      </c>
      <c r="C188" s="4">
        <v>4422.99</v>
      </c>
      <c r="D188" s="4">
        <v>605.48</v>
      </c>
      <c r="E188" s="16" t="s">
        <v>10</v>
      </c>
      <c r="F188" s="16">
        <f>Table1[[#This Row],[Average_Monthly_Income]]-Table1[[#This Row],[Cost_of_Living]]</f>
        <v>3817.5099999999998</v>
      </c>
      <c r="G188" s="4"/>
    </row>
    <row r="189" spans="1:7" x14ac:dyDescent="0.2">
      <c r="A189" s="39" t="s">
        <v>20</v>
      </c>
      <c r="B189" s="4">
        <v>2022</v>
      </c>
      <c r="C189" s="4">
        <v>6079.6</v>
      </c>
      <c r="D189" s="4">
        <v>3404.45</v>
      </c>
      <c r="E189" s="16" t="s">
        <v>18</v>
      </c>
      <c r="F189" s="16">
        <f>Table1[[#This Row],[Average_Monthly_Income]]-Table1[[#This Row],[Cost_of_Living]]</f>
        <v>2675.1500000000005</v>
      </c>
      <c r="G189" s="4"/>
    </row>
    <row r="190" spans="1:7" x14ac:dyDescent="0.2">
      <c r="A190" s="39" t="s">
        <v>19</v>
      </c>
      <c r="B190" s="4">
        <v>2022</v>
      </c>
      <c r="C190" s="4">
        <v>7075.74</v>
      </c>
      <c r="D190" s="4">
        <v>3567.6</v>
      </c>
      <c r="E190" s="16" t="s">
        <v>10</v>
      </c>
      <c r="F190" s="16">
        <f>Table1[[#This Row],[Average_Monthly_Income]]-Table1[[#This Row],[Cost_of_Living]]</f>
        <v>3508.14</v>
      </c>
      <c r="G190" s="4"/>
    </row>
    <row r="191" spans="1:7" x14ac:dyDescent="0.2">
      <c r="A191" s="39" t="s">
        <v>11</v>
      </c>
      <c r="B191" s="4">
        <v>2022</v>
      </c>
      <c r="C191" s="4">
        <v>6659.43</v>
      </c>
      <c r="D191" s="4">
        <v>2324.9699999999998</v>
      </c>
      <c r="E191" s="16" t="s">
        <v>12</v>
      </c>
      <c r="F191" s="16">
        <f>Table1[[#This Row],[Average_Monthly_Income]]-Table1[[#This Row],[Cost_of_Living]]</f>
        <v>4334.4600000000009</v>
      </c>
      <c r="G191" s="4"/>
    </row>
    <row r="192" spans="1:7" x14ac:dyDescent="0.2">
      <c r="A192" s="39" t="s">
        <v>22</v>
      </c>
      <c r="B192" s="4">
        <v>2022</v>
      </c>
      <c r="C192" s="4">
        <v>5804.29</v>
      </c>
      <c r="D192" s="4">
        <v>608.47</v>
      </c>
      <c r="E192" s="16" t="s">
        <v>10</v>
      </c>
      <c r="F192" s="16">
        <f>Table1[[#This Row],[Average_Monthly_Income]]-Table1[[#This Row],[Cost_of_Living]]</f>
        <v>5195.82</v>
      </c>
      <c r="G192" s="4"/>
    </row>
    <row r="193" spans="1:7" x14ac:dyDescent="0.2">
      <c r="A193" s="39" t="s">
        <v>20</v>
      </c>
      <c r="B193" s="4">
        <v>2022</v>
      </c>
      <c r="C193" s="4">
        <v>7886.31</v>
      </c>
      <c r="D193" s="4">
        <v>928.76</v>
      </c>
      <c r="E193" s="16" t="s">
        <v>18</v>
      </c>
      <c r="F193" s="16">
        <f>Table1[[#This Row],[Average_Monthly_Income]]-Table1[[#This Row],[Cost_of_Living]]</f>
        <v>6957.55</v>
      </c>
      <c r="G193" s="4"/>
    </row>
    <row r="194" spans="1:7" x14ac:dyDescent="0.2">
      <c r="A194" s="39" t="s">
        <v>20</v>
      </c>
      <c r="B194" s="4">
        <v>2023</v>
      </c>
      <c r="C194" s="4">
        <v>1657.72</v>
      </c>
      <c r="D194" s="4">
        <v>5347.7</v>
      </c>
      <c r="E194" s="16" t="s">
        <v>18</v>
      </c>
      <c r="F194" s="16">
        <f>Table1[[#This Row],[Average_Monthly_Income]]-Table1[[#This Row],[Cost_of_Living]]</f>
        <v>-3689.9799999999996</v>
      </c>
      <c r="G194" s="4"/>
    </row>
    <row r="195" spans="1:7" x14ac:dyDescent="0.2">
      <c r="A195" s="39" t="s">
        <v>21</v>
      </c>
      <c r="B195" s="4">
        <v>2023</v>
      </c>
      <c r="C195" s="4">
        <v>1508.11</v>
      </c>
      <c r="D195" s="4">
        <v>2535.83</v>
      </c>
      <c r="E195" s="16" t="s">
        <v>18</v>
      </c>
      <c r="F195" s="16">
        <f>Table1[[#This Row],[Average_Monthly_Income]]-Table1[[#This Row],[Cost_of_Living]]</f>
        <v>-1027.72</v>
      </c>
      <c r="G195" s="4"/>
    </row>
    <row r="196" spans="1:7" x14ac:dyDescent="0.2">
      <c r="A196" s="39" t="s">
        <v>21</v>
      </c>
      <c r="B196" s="4">
        <v>2023</v>
      </c>
      <c r="C196" s="4">
        <v>5611.27</v>
      </c>
      <c r="D196" s="4">
        <v>6981.02</v>
      </c>
      <c r="E196" s="16" t="s">
        <v>18</v>
      </c>
      <c r="F196" s="16">
        <f>Table1[[#This Row],[Average_Monthly_Income]]-Table1[[#This Row],[Cost_of_Living]]</f>
        <v>-1369.75</v>
      </c>
      <c r="G196" s="4"/>
    </row>
    <row r="197" spans="1:7" x14ac:dyDescent="0.2">
      <c r="A197" s="39" t="s">
        <v>19</v>
      </c>
      <c r="B197" s="4">
        <v>2023</v>
      </c>
      <c r="C197" s="4">
        <v>3379.18</v>
      </c>
      <c r="D197" s="4">
        <v>1266.22</v>
      </c>
      <c r="E197" s="16" t="s">
        <v>10</v>
      </c>
      <c r="F197" s="16">
        <f>Table1[[#This Row],[Average_Monthly_Income]]-Table1[[#This Row],[Cost_of_Living]]</f>
        <v>2112.96</v>
      </c>
      <c r="G197" s="4"/>
    </row>
    <row r="198" spans="1:7" x14ac:dyDescent="0.2">
      <c r="A198" s="39" t="s">
        <v>7</v>
      </c>
      <c r="B198" s="4">
        <v>2023</v>
      </c>
      <c r="C198" s="4">
        <v>3011.79</v>
      </c>
      <c r="D198" s="4">
        <v>1226.23</v>
      </c>
      <c r="E198" s="16" t="s">
        <v>8</v>
      </c>
      <c r="F198" s="16">
        <f>Table1[[#This Row],[Average_Monthly_Income]]-Table1[[#This Row],[Cost_of_Living]]</f>
        <v>1785.56</v>
      </c>
      <c r="G198" s="4"/>
    </row>
    <row r="199" spans="1:7" x14ac:dyDescent="0.2">
      <c r="A199" s="39" t="s">
        <v>5</v>
      </c>
      <c r="B199" s="4">
        <v>2023</v>
      </c>
      <c r="C199" s="4">
        <v>2363.67</v>
      </c>
      <c r="D199" s="4">
        <v>2448.39</v>
      </c>
      <c r="E199" s="16" t="s">
        <v>6</v>
      </c>
      <c r="F199" s="16">
        <f>Table1[[#This Row],[Average_Monthly_Income]]-Table1[[#This Row],[Cost_of_Living]]</f>
        <v>-84.7199999999998</v>
      </c>
      <c r="G199" s="4"/>
    </row>
    <row r="200" spans="1:7" ht="16" thickBot="1" x14ac:dyDescent="0.25">
      <c r="A200" s="40" t="s">
        <v>22</v>
      </c>
      <c r="B200" s="41">
        <v>2023</v>
      </c>
      <c r="C200" s="41">
        <v>3505.72</v>
      </c>
      <c r="D200" s="41">
        <v>5238.55</v>
      </c>
      <c r="E200" s="42" t="s">
        <v>10</v>
      </c>
      <c r="F200" s="16">
        <f>Table1[[#This Row],[Average_Monthly_Income]]-Table1[[#This Row],[Cost_of_Living]]</f>
        <v>-1732.8300000000004</v>
      </c>
      <c r="G200" s="4"/>
    </row>
  </sheetData>
  <pageMargins left="0.7" right="0.7" top="0.75" bottom="0.75" header="0.3" footer="0.3"/>
  <pageSetup paperSize="9" scale="44" orientation="portrait" horizontalDpi="0" verticalDpi="0"/>
  <colBreaks count="1" manualBreakCount="1">
    <brk id="8" max="199" man="1"/>
  </colBreaks>
  <drawing r:id="rId3"/>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D7314-FE97-5640-9A0A-38CC6630ABB5}">
  <dimension ref="B1:M43"/>
  <sheetViews>
    <sheetView view="pageBreakPreview" zoomScale="60" zoomScaleNormal="90" workbookViewId="0">
      <selection activeCell="J12" sqref="J12"/>
    </sheetView>
  </sheetViews>
  <sheetFormatPr baseColWidth="10" defaultRowHeight="15" x14ac:dyDescent="0.2"/>
  <cols>
    <col min="3" max="3" width="14.5" bestFit="1" customWidth="1"/>
    <col min="4" max="4" width="20.33203125" bestFit="1" customWidth="1"/>
    <col min="5" max="5" width="20.5" bestFit="1" customWidth="1"/>
    <col min="6" max="6" width="21.6640625" customWidth="1"/>
  </cols>
  <sheetData>
    <row r="1" spans="2:13" ht="16" thickBot="1" x14ac:dyDescent="0.25"/>
    <row r="2" spans="2:13" ht="37" customHeight="1" thickBot="1" x14ac:dyDescent="0.25">
      <c r="C2" s="21" t="s">
        <v>30</v>
      </c>
      <c r="D2" s="59" t="s">
        <v>29</v>
      </c>
      <c r="E2" s="59"/>
      <c r="F2" s="59"/>
      <c r="G2" s="59"/>
      <c r="H2" s="59"/>
      <c r="I2" s="60"/>
    </row>
    <row r="3" spans="2:13" ht="26" customHeight="1" x14ac:dyDescent="0.2">
      <c r="C3" s="22"/>
      <c r="D3" s="28" t="s">
        <v>28</v>
      </c>
      <c r="E3" s="29"/>
      <c r="F3" s="29"/>
      <c r="G3" s="29"/>
      <c r="H3" s="29"/>
      <c r="I3" s="30"/>
    </row>
    <row r="4" spans="2:13" ht="26" customHeight="1" x14ac:dyDescent="0.2">
      <c r="C4" s="22"/>
      <c r="D4" s="31"/>
      <c r="E4" s="32"/>
      <c r="F4" s="32"/>
      <c r="G4" s="32"/>
      <c r="H4" s="32"/>
      <c r="I4" s="33"/>
    </row>
    <row r="5" spans="2:13" ht="26" customHeight="1" x14ac:dyDescent="0.2">
      <c r="C5" s="22"/>
      <c r="D5" s="31"/>
      <c r="E5" s="32"/>
      <c r="F5" s="32"/>
      <c r="G5" s="32"/>
      <c r="H5" s="32"/>
      <c r="I5" s="33"/>
    </row>
    <row r="6" spans="2:13" ht="26" customHeight="1" x14ac:dyDescent="0.2">
      <c r="C6" s="22"/>
      <c r="D6" s="31"/>
      <c r="E6" s="32"/>
      <c r="F6" s="32"/>
      <c r="G6" s="32"/>
      <c r="H6" s="32"/>
      <c r="I6" s="33"/>
    </row>
    <row r="7" spans="2:13" ht="26" customHeight="1" thickBot="1" x14ac:dyDescent="0.25">
      <c r="C7" s="23"/>
      <c r="D7" s="34"/>
      <c r="E7" s="35"/>
      <c r="F7" s="35"/>
      <c r="G7" s="35"/>
      <c r="H7" s="35"/>
      <c r="I7" s="36"/>
    </row>
    <row r="8" spans="2:13" ht="26" customHeight="1" thickBot="1" x14ac:dyDescent="0.25">
      <c r="G8" s="13"/>
      <c r="H8" s="14"/>
      <c r="I8" s="14"/>
      <c r="J8" s="14"/>
      <c r="K8" s="14"/>
      <c r="L8" s="14"/>
      <c r="M8" s="14"/>
    </row>
    <row r="9" spans="2:13" ht="49" thickBot="1" x14ac:dyDescent="0.25">
      <c r="B9" s="16"/>
      <c r="C9" s="52" t="s">
        <v>23</v>
      </c>
      <c r="D9" s="43" t="s">
        <v>26</v>
      </c>
      <c r="E9" s="44" t="s">
        <v>25</v>
      </c>
      <c r="F9" s="12"/>
      <c r="G9" s="13"/>
      <c r="H9" s="15"/>
      <c r="I9" s="15"/>
      <c r="J9" s="15"/>
      <c r="K9" s="15"/>
      <c r="L9" s="15"/>
      <c r="M9" s="15"/>
    </row>
    <row r="10" spans="2:13" ht="15" customHeight="1" thickBot="1" x14ac:dyDescent="0.25">
      <c r="C10" s="26" t="s">
        <v>12</v>
      </c>
      <c r="D10" s="27">
        <v>3963.1738888888885</v>
      </c>
      <c r="E10" s="27">
        <v>4695.1850000000013</v>
      </c>
      <c r="F10" s="1"/>
      <c r="G10" s="13"/>
      <c r="H10" s="15"/>
      <c r="I10" s="15"/>
      <c r="J10" s="15"/>
      <c r="K10" s="15"/>
      <c r="L10" s="15"/>
      <c r="M10" s="15"/>
    </row>
    <row r="11" spans="2:13" ht="15" customHeight="1" thickBot="1" x14ac:dyDescent="0.25">
      <c r="C11" s="26" t="s">
        <v>8</v>
      </c>
      <c r="D11" s="27">
        <v>3645.2931914893629</v>
      </c>
      <c r="E11" s="27">
        <v>4172.5140425531918</v>
      </c>
      <c r="F11" s="1"/>
      <c r="G11" s="13"/>
      <c r="H11" s="15"/>
      <c r="I11" s="15"/>
      <c r="J11" s="15"/>
      <c r="K11" s="15"/>
      <c r="L11" s="15"/>
      <c r="M11" s="15"/>
    </row>
    <row r="12" spans="2:13" ht="15" customHeight="1" thickBot="1" x14ac:dyDescent="0.25">
      <c r="C12" s="26" t="s">
        <v>10</v>
      </c>
      <c r="D12" s="27">
        <v>3554.35</v>
      </c>
      <c r="E12" s="27">
        <v>4477.2575555555559</v>
      </c>
      <c r="F12" s="1"/>
      <c r="G12" s="13"/>
      <c r="H12" s="15"/>
      <c r="I12" s="15"/>
      <c r="J12" s="15"/>
      <c r="K12" s="15"/>
      <c r="L12" s="15"/>
      <c r="M12" s="15"/>
    </row>
    <row r="13" spans="2:13" ht="15" customHeight="1" thickBot="1" x14ac:dyDescent="0.25">
      <c r="C13" s="26" t="s">
        <v>18</v>
      </c>
      <c r="D13" s="27">
        <v>3750.0729411764701</v>
      </c>
      <c r="E13" s="27">
        <v>3774.2074509803924</v>
      </c>
      <c r="F13" s="1"/>
      <c r="G13" s="13"/>
      <c r="H13" s="15"/>
      <c r="I13" s="15"/>
      <c r="J13" s="15"/>
      <c r="K13" s="15"/>
      <c r="L13" s="15"/>
      <c r="M13" s="15"/>
    </row>
    <row r="14" spans="2:13" ht="16" thickBot="1" x14ac:dyDescent="0.25">
      <c r="C14" s="26" t="s">
        <v>6</v>
      </c>
      <c r="D14" s="27">
        <v>3913.3959090909102</v>
      </c>
      <c r="E14" s="27">
        <v>4541.9690909090914</v>
      </c>
      <c r="F14" s="1"/>
    </row>
    <row r="15" spans="2:13" ht="16" thickBot="1" x14ac:dyDescent="0.25">
      <c r="C15" s="26" t="s">
        <v>14</v>
      </c>
      <c r="D15" s="27">
        <v>3585.0149999999994</v>
      </c>
      <c r="E15" s="27">
        <v>4389.5681250000007</v>
      </c>
      <c r="F15" s="1"/>
    </row>
    <row r="16" spans="2:13" ht="15" customHeight="1" thickBot="1" x14ac:dyDescent="0.25">
      <c r="C16" s="26" t="s">
        <v>24</v>
      </c>
      <c r="D16" s="27">
        <v>3705.1272864321604</v>
      </c>
      <c r="E16" s="27">
        <v>4244.9199497487461</v>
      </c>
      <c r="F16" s="1"/>
    </row>
    <row r="17" ht="15" customHeight="1" x14ac:dyDescent="0.2"/>
    <row r="22" ht="15" customHeight="1" x14ac:dyDescent="0.2"/>
    <row r="23" ht="15" customHeight="1" x14ac:dyDescent="0.2"/>
    <row r="36" spans="3:9" ht="16" thickBot="1" x14ac:dyDescent="0.25"/>
    <row r="37" spans="3:9" ht="39" customHeight="1" thickBot="1" x14ac:dyDescent="0.25">
      <c r="C37" s="21" t="s">
        <v>31</v>
      </c>
      <c r="D37" s="56" t="s">
        <v>34</v>
      </c>
      <c r="E37" s="57"/>
      <c r="F37" s="57"/>
      <c r="G37" s="57"/>
      <c r="H37" s="57"/>
      <c r="I37" s="58"/>
    </row>
    <row r="38" spans="3:9" ht="39" customHeight="1" x14ac:dyDescent="0.2">
      <c r="C38" s="22"/>
      <c r="D38" s="28" t="s">
        <v>35</v>
      </c>
      <c r="E38" s="29"/>
      <c r="F38" s="29"/>
      <c r="G38" s="29"/>
      <c r="H38" s="29"/>
      <c r="I38" s="30"/>
    </row>
    <row r="39" spans="3:9" ht="39" customHeight="1" x14ac:dyDescent="0.2">
      <c r="C39" s="22"/>
      <c r="D39" s="31"/>
      <c r="E39" s="32"/>
      <c r="F39" s="32"/>
      <c r="G39" s="32"/>
      <c r="H39" s="32"/>
      <c r="I39" s="33"/>
    </row>
    <row r="40" spans="3:9" ht="39" customHeight="1" x14ac:dyDescent="0.2">
      <c r="C40" s="22"/>
      <c r="D40" s="31"/>
      <c r="E40" s="32"/>
      <c r="F40" s="32"/>
      <c r="G40" s="32"/>
      <c r="H40" s="32"/>
      <c r="I40" s="33"/>
    </row>
    <row r="41" spans="3:9" ht="39" customHeight="1" x14ac:dyDescent="0.2">
      <c r="C41" s="22"/>
      <c r="D41" s="31"/>
      <c r="E41" s="32"/>
      <c r="F41" s="32"/>
      <c r="G41" s="32"/>
      <c r="H41" s="32"/>
      <c r="I41" s="33"/>
    </row>
    <row r="42" spans="3:9" ht="39" customHeight="1" thickBot="1" x14ac:dyDescent="0.25">
      <c r="C42" s="23"/>
      <c r="D42" s="34"/>
      <c r="E42" s="35"/>
      <c r="F42" s="35"/>
      <c r="G42" s="35"/>
      <c r="H42" s="35"/>
      <c r="I42" s="36"/>
    </row>
    <row r="43" spans="3:9" x14ac:dyDescent="0.2">
      <c r="D43" s="4"/>
    </row>
  </sheetData>
  <mergeCells count="6">
    <mergeCell ref="C2:C7"/>
    <mergeCell ref="D2:I2"/>
    <mergeCell ref="D3:I7"/>
    <mergeCell ref="C37:C42"/>
    <mergeCell ref="D37:I37"/>
    <mergeCell ref="D38:I42"/>
  </mergeCells>
  <pageMargins left="0.7" right="0.7" top="0.75" bottom="0.75" header="0.3" footer="0.3"/>
  <pageSetup paperSize="9" scale="50" orientation="portrait" horizontalDpi="0" verticalDpi="0"/>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01_Cost of Living</vt:lpstr>
      <vt:lpstr>Key Insight 1 and Key Insight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Hieu Dang</cp:lastModifiedBy>
  <dcterms:created xsi:type="dcterms:W3CDTF">2024-12-20T01:57:10Z</dcterms:created>
  <dcterms:modified xsi:type="dcterms:W3CDTF">2025-11-02T12:06:07Z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2025-04-02T03:12:39Z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0d5f3e43-23a8-4a49-ae94-00ca286a0b61</vt:lpwstr>
  </property>
  <property fmtid="{D5CDD505-2E9C-101B-9397-08002B2CF9AE}" pid="7" name="MSIP_Label_defa4170-0d19-0005-0004-bc88714345d2_ActionId">
    <vt:lpwstr>ee676dbe-0c64-482a-afed-517ad099a1ba</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